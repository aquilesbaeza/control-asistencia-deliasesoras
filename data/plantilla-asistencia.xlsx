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drawings/drawing3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coricr-my.sharepoint.com/personal/ntrejosv0199_ulicori_net/Documents/Escritorio/"/>
    </mc:Choice>
  </mc:AlternateContent>
  <xr:revisionPtr revIDLastSave="2988" documentId="13_ncr:1_{1C13110C-078C-41E2-9328-65575109FC2D}" xr6:coauthVersionLast="47" xr6:coauthVersionMax="47" xr10:uidLastSave="{5830E4D0-C5BE-4905-BF6B-2819BFFC1842}"/>
  <bookViews>
    <workbookView xWindow="-110" yWindow="-110" windowWidth="19420" windowHeight="10300" firstSheet="7" activeTab="9" xr2:uid="{0D8B1B1F-0E40-4642-8FF5-8040CE6963F0}"/>
  </bookViews>
  <sheets>
    <sheet name="ENERO 2026" sheetId="1" r:id="rId1"/>
    <sheet name="febrero 2026" sheetId="2" r:id="rId2"/>
    <sheet name="Hoja1" sheetId="12" r:id="rId3"/>
    <sheet name="marzo 2026" sheetId="6" r:id="rId4"/>
    <sheet name="Abril 2026" sheetId="7" r:id="rId5"/>
    <sheet name="Mayo 2026" sheetId="8" r:id="rId6"/>
    <sheet name="Junio 2026" sheetId="10" r:id="rId7"/>
    <sheet name="Julio 2026" sheetId="11" r:id="rId8"/>
    <sheet name="Agosto 2026" sheetId="13" r:id="rId9"/>
    <sheet name="Setiembre 2026" sheetId="2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7" i="24" l="1"/>
  <c r="AK17" i="24"/>
  <c r="AJ17" i="24"/>
  <c r="AI17" i="24"/>
  <c r="AH17" i="24"/>
  <c r="AL6" i="24"/>
  <c r="AL7" i="24"/>
  <c r="AL8" i="24"/>
  <c r="AL9" i="24"/>
  <c r="AL10" i="24"/>
  <c r="AK6" i="24"/>
  <c r="AK7" i="24"/>
  <c r="AK8" i="24"/>
  <c r="AK9" i="24"/>
  <c r="AK10" i="24"/>
  <c r="AJ6" i="24"/>
  <c r="AJ7" i="24"/>
  <c r="AJ8" i="24"/>
  <c r="AJ9" i="24"/>
  <c r="AJ10" i="24"/>
  <c r="AI6" i="24"/>
  <c r="AI7" i="24"/>
  <c r="AI8" i="24"/>
  <c r="AI9" i="24"/>
  <c r="AI10" i="24"/>
  <c r="AH6" i="24"/>
  <c r="AH7" i="24"/>
  <c r="AH8" i="24"/>
  <c r="AH9" i="24"/>
  <c r="AH10" i="24"/>
  <c r="AH11" i="24"/>
  <c r="AL32" i="24"/>
  <c r="AL31" i="24"/>
  <c r="AL30" i="24"/>
  <c r="AL29" i="24"/>
  <c r="AL28" i="24"/>
  <c r="AL27" i="24"/>
  <c r="AL26" i="24"/>
  <c r="AL25" i="24"/>
  <c r="AL24" i="24"/>
  <c r="AL23" i="24"/>
  <c r="AL22" i="24"/>
  <c r="AL21" i="24"/>
  <c r="AL20" i="24"/>
  <c r="AL19" i="24"/>
  <c r="AL18" i="24"/>
  <c r="AL16" i="24"/>
  <c r="AL15" i="24"/>
  <c r="AL14" i="24"/>
  <c r="AL13" i="24"/>
  <c r="AL12" i="24"/>
  <c r="AL11" i="24"/>
  <c r="AL5" i="24"/>
  <c r="AL4" i="24"/>
  <c r="AL3" i="24"/>
  <c r="AK11" i="24"/>
  <c r="AK12" i="24"/>
  <c r="AK13" i="24"/>
  <c r="AK14" i="24"/>
  <c r="AK15" i="24"/>
  <c r="AK16" i="24"/>
  <c r="AK18" i="24"/>
  <c r="AK19" i="24"/>
  <c r="AK20" i="24"/>
  <c r="AK21" i="24"/>
  <c r="AK22" i="24"/>
  <c r="AK23" i="24"/>
  <c r="AK24" i="24"/>
  <c r="AK25" i="24"/>
  <c r="AK26" i="24"/>
  <c r="AK27" i="24"/>
  <c r="AK28" i="24"/>
  <c r="AK29" i="24"/>
  <c r="AK30" i="24"/>
  <c r="AK31" i="24"/>
  <c r="AK32" i="24"/>
  <c r="AK5" i="24"/>
  <c r="AK4" i="24"/>
  <c r="AK3" i="24"/>
  <c r="AK29" i="13"/>
  <c r="AK28" i="13"/>
  <c r="AK27" i="13"/>
  <c r="AK26" i="13"/>
  <c r="AK25" i="13"/>
  <c r="AK24" i="13"/>
  <c r="AK23" i="13"/>
  <c r="AK22" i="13"/>
  <c r="AK21" i="13"/>
  <c r="AK20" i="13"/>
  <c r="AK19" i="13"/>
  <c r="AK18" i="13"/>
  <c r="AK17" i="13"/>
  <c r="AK16" i="13"/>
  <c r="AK15" i="13"/>
  <c r="AK14" i="13"/>
  <c r="AK13" i="13"/>
  <c r="AK12" i="13"/>
  <c r="AK11" i="13"/>
  <c r="AK10" i="13"/>
  <c r="AK9" i="13"/>
  <c r="AK8" i="13"/>
  <c r="AK7" i="13"/>
  <c r="AK6" i="13"/>
  <c r="AK5" i="13"/>
  <c r="AK4" i="13"/>
  <c r="AK3" i="13"/>
  <c r="AH32" i="24"/>
  <c r="AH31" i="24"/>
  <c r="AH30" i="24"/>
  <c r="AH29" i="24"/>
  <c r="AH28" i="24"/>
  <c r="AH27" i="24"/>
  <c r="AH26" i="24"/>
  <c r="AH25" i="24"/>
  <c r="AH24" i="24"/>
  <c r="AH23" i="24"/>
  <c r="AH22" i="24"/>
  <c r="AH21" i="24"/>
  <c r="AH20" i="24"/>
  <c r="AH19" i="24"/>
  <c r="AH18" i="24"/>
  <c r="AH16" i="24"/>
  <c r="AH15" i="24"/>
  <c r="AH14" i="24"/>
  <c r="AH13" i="24"/>
  <c r="AH12" i="24"/>
  <c r="AH5" i="24"/>
  <c r="AH4" i="24"/>
  <c r="AH3" i="24"/>
  <c r="AJ32" i="24"/>
  <c r="AJ31" i="24"/>
  <c r="AJ30" i="24"/>
  <c r="AJ29" i="24"/>
  <c r="AJ28" i="24"/>
  <c r="AJ27" i="24"/>
  <c r="AJ26" i="24"/>
  <c r="AJ25" i="24"/>
  <c r="AJ24" i="24"/>
  <c r="AJ23" i="24"/>
  <c r="AJ22" i="24"/>
  <c r="AJ21" i="24"/>
  <c r="AJ20" i="24"/>
  <c r="AJ19" i="24"/>
  <c r="AJ18" i="24"/>
  <c r="AJ16" i="24"/>
  <c r="AJ15" i="24"/>
  <c r="AJ14" i="24"/>
  <c r="AJ13" i="24"/>
  <c r="AJ12" i="24"/>
  <c r="AJ11" i="24"/>
  <c r="AJ5" i="24"/>
  <c r="AJ4" i="24"/>
  <c r="AJ3" i="24"/>
  <c r="AH3" i="13"/>
  <c r="AH4" i="13"/>
  <c r="AH5" i="13"/>
  <c r="AH6" i="13"/>
  <c r="AI32" i="24"/>
  <c r="AI31" i="24"/>
  <c r="AI30" i="24"/>
  <c r="AI29" i="24"/>
  <c r="AI28" i="24"/>
  <c r="AI27" i="24"/>
  <c r="AI26" i="24"/>
  <c r="AI25" i="24"/>
  <c r="AI24" i="24"/>
  <c r="AI23" i="24"/>
  <c r="AI22" i="24"/>
  <c r="AI21" i="24"/>
  <c r="AI20" i="24"/>
  <c r="AI19" i="24"/>
  <c r="AI18" i="24"/>
  <c r="AI16" i="24"/>
  <c r="AI15" i="24"/>
  <c r="AI14" i="24"/>
  <c r="AI13" i="24"/>
  <c r="AI12" i="24"/>
  <c r="AI11" i="24"/>
  <c r="AI5" i="24"/>
  <c r="AI4" i="24"/>
  <c r="AI3" i="24"/>
  <c r="AH28" i="13"/>
  <c r="AH4" i="11"/>
  <c r="AH17" i="11"/>
  <c r="AL16" i="11"/>
  <c r="AL24" i="11"/>
  <c r="AL25" i="11"/>
  <c r="AK24" i="11"/>
  <c r="AK25" i="11"/>
  <c r="AJ24" i="11"/>
  <c r="AJ25" i="11"/>
  <c r="AI24" i="11"/>
  <c r="AI25" i="11"/>
  <c r="AH24" i="11"/>
  <c r="AH25" i="11"/>
  <c r="AL28" i="13"/>
  <c r="AJ28" i="13"/>
  <c r="AI28" i="13"/>
  <c r="AL22" i="11"/>
  <c r="AL23" i="11"/>
  <c r="AK22" i="11"/>
  <c r="AJ22" i="11"/>
  <c r="AI22" i="11"/>
  <c r="AH22" i="11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9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9" i="13"/>
  <c r="AI29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9" i="13"/>
  <c r="AH7" i="13"/>
  <c r="AL5" i="13"/>
  <c r="AL4" i="13"/>
  <c r="AL3" i="13"/>
  <c r="AJ5" i="13"/>
  <c r="AJ4" i="13"/>
  <c r="AJ3" i="13"/>
  <c r="AI4" i="13"/>
  <c r="AI3" i="13"/>
  <c r="AK26" i="11"/>
  <c r="AJ26" i="11"/>
  <c r="AI26" i="11"/>
  <c r="AH23" i="11"/>
  <c r="AH26" i="11"/>
  <c r="AJ23" i="11"/>
  <c r="AL10" i="11"/>
  <c r="AK10" i="11"/>
  <c r="AI10" i="11"/>
  <c r="AL5" i="11"/>
  <c r="AK5" i="11"/>
  <c r="AJ5" i="11"/>
  <c r="AI5" i="11"/>
  <c r="AH5" i="11"/>
  <c r="AL30" i="11"/>
  <c r="AK30" i="11"/>
  <c r="AJ30" i="11"/>
  <c r="AI30" i="11"/>
  <c r="AH30" i="11"/>
  <c r="AL29" i="11"/>
  <c r="AK29" i="11"/>
  <c r="AJ29" i="11"/>
  <c r="AI29" i="11"/>
  <c r="AH29" i="11"/>
  <c r="AL28" i="11"/>
  <c r="AK28" i="11"/>
  <c r="AJ28" i="11"/>
  <c r="AI28" i="11"/>
  <c r="AH28" i="11"/>
  <c r="AL27" i="11"/>
  <c r="AK27" i="11"/>
  <c r="AJ27" i="11"/>
  <c r="AI27" i="11"/>
  <c r="AH27" i="11"/>
  <c r="AL26" i="11"/>
  <c r="AK23" i="11"/>
  <c r="AI23" i="11"/>
  <c r="AL21" i="11"/>
  <c r="AK21" i="11"/>
  <c r="AJ21" i="11"/>
  <c r="AI21" i="11"/>
  <c r="AH21" i="11"/>
  <c r="AL20" i="11"/>
  <c r="AK20" i="11"/>
  <c r="AJ20" i="11"/>
  <c r="AI20" i="11"/>
  <c r="AH20" i="11"/>
  <c r="AL19" i="11"/>
  <c r="AK19" i="11"/>
  <c r="AJ19" i="11"/>
  <c r="AI19" i="11"/>
  <c r="AH19" i="11"/>
  <c r="AL18" i="11"/>
  <c r="AK18" i="11"/>
  <c r="AJ18" i="11"/>
  <c r="AI18" i="11"/>
  <c r="AH18" i="11"/>
  <c r="AL17" i="11"/>
  <c r="AK17" i="11"/>
  <c r="AJ17" i="11"/>
  <c r="AI17" i="11"/>
  <c r="AK16" i="11"/>
  <c r="AJ16" i="11"/>
  <c r="AI16" i="11"/>
  <c r="AH16" i="11"/>
  <c r="AL15" i="11"/>
  <c r="AK15" i="11"/>
  <c r="AJ15" i="11"/>
  <c r="AI15" i="11"/>
  <c r="AH15" i="11"/>
  <c r="AL14" i="11"/>
  <c r="AK14" i="11"/>
  <c r="AJ14" i="11"/>
  <c r="AI14" i="11"/>
  <c r="AH14" i="11"/>
  <c r="AL13" i="11"/>
  <c r="AK13" i="11"/>
  <c r="AJ13" i="11"/>
  <c r="AI13" i="11"/>
  <c r="AH13" i="11"/>
  <c r="AL12" i="11"/>
  <c r="AK12" i="11"/>
  <c r="AJ12" i="11"/>
  <c r="AI12" i="11"/>
  <c r="AH12" i="11"/>
  <c r="AK11" i="11"/>
  <c r="AJ10" i="11"/>
  <c r="AI11" i="11"/>
  <c r="AH10" i="11"/>
  <c r="AL9" i="11"/>
  <c r="AK9" i="11"/>
  <c r="AJ9" i="11"/>
  <c r="AI9" i="11"/>
  <c r="AH9" i="11"/>
  <c r="AL8" i="11"/>
  <c r="AK8" i="11"/>
  <c r="AJ8" i="11"/>
  <c r="AI8" i="11"/>
  <c r="AH8" i="11"/>
  <c r="AL7" i="11"/>
  <c r="AK7" i="11"/>
  <c r="AJ7" i="11"/>
  <c r="AI7" i="11"/>
  <c r="AH7" i="11"/>
  <c r="AL6" i="11"/>
  <c r="AK6" i="11"/>
  <c r="AJ6" i="11"/>
  <c r="AI6" i="11"/>
  <c r="AH6" i="11"/>
  <c r="AL4" i="11"/>
  <c r="AK4" i="11"/>
  <c r="AJ4" i="11"/>
  <c r="AI4" i="11"/>
  <c r="AL3" i="11"/>
  <c r="AK3" i="11"/>
  <c r="AJ3" i="11"/>
  <c r="AI3" i="11"/>
  <c r="AH3" i="11"/>
  <c r="AL27" i="10"/>
  <c r="AK27" i="10"/>
  <c r="AJ27" i="10"/>
  <c r="AI27" i="10"/>
  <c r="AH27" i="10"/>
  <c r="AL17" i="10"/>
  <c r="AK18" i="10"/>
  <c r="AJ18" i="10"/>
  <c r="AI18" i="10"/>
  <c r="AH18" i="10"/>
  <c r="AL6" i="10"/>
  <c r="AK6" i="10"/>
  <c r="AJ6" i="10"/>
  <c r="AI6" i="10"/>
  <c r="AH6" i="10"/>
  <c r="AL26" i="10"/>
  <c r="AK26" i="10"/>
  <c r="AJ25" i="10"/>
  <c r="AI26" i="10"/>
  <c r="AH26" i="10"/>
  <c r="AL20" i="10"/>
  <c r="AK20" i="10"/>
  <c r="AJ20" i="10"/>
  <c r="AI20" i="10"/>
  <c r="AH20" i="10"/>
  <c r="AL28" i="10"/>
  <c r="AK28" i="10"/>
  <c r="AJ28" i="10"/>
  <c r="AI28" i="10"/>
  <c r="AH28" i="10"/>
  <c r="AL29" i="10"/>
  <c r="AK29" i="10"/>
  <c r="AJ29" i="10"/>
  <c r="AI29" i="10"/>
  <c r="AH29" i="10"/>
  <c r="AL10" i="10"/>
  <c r="AK10" i="10"/>
  <c r="AJ9" i="10"/>
  <c r="AI9" i="10"/>
  <c r="AH10" i="10"/>
  <c r="AL5" i="10"/>
  <c r="AL7" i="10"/>
  <c r="AL8" i="10"/>
  <c r="AL9" i="10"/>
  <c r="AL11" i="10"/>
  <c r="AL12" i="10"/>
  <c r="AL13" i="10"/>
  <c r="AL14" i="10"/>
  <c r="AL15" i="10"/>
  <c r="AL16" i="10"/>
  <c r="AL18" i="10"/>
  <c r="AL19" i="10"/>
  <c r="AL21" i="10"/>
  <c r="AL22" i="10"/>
  <c r="AL23" i="10"/>
  <c r="AL24" i="10"/>
  <c r="AL25" i="10"/>
  <c r="AL30" i="10"/>
  <c r="AL31" i="10"/>
  <c r="AL32" i="10"/>
  <c r="AL4" i="10"/>
  <c r="AK5" i="10"/>
  <c r="AK7" i="10"/>
  <c r="AK8" i="10"/>
  <c r="AK9" i="10"/>
  <c r="AK11" i="10"/>
  <c r="AK12" i="10"/>
  <c r="AK13" i="10"/>
  <c r="AK14" i="10"/>
  <c r="AK15" i="10"/>
  <c r="AK16" i="10"/>
  <c r="AK17" i="10"/>
  <c r="AK19" i="10"/>
  <c r="AK21" i="10"/>
  <c r="AK22" i="10"/>
  <c r="AK23" i="10"/>
  <c r="AK24" i="10"/>
  <c r="AK25" i="10"/>
  <c r="AK30" i="10"/>
  <c r="AK31" i="10"/>
  <c r="AK32" i="10"/>
  <c r="AK4" i="10"/>
  <c r="AJ5" i="10"/>
  <c r="AJ7" i="10"/>
  <c r="AJ8" i="10"/>
  <c r="AJ10" i="10"/>
  <c r="AJ11" i="10"/>
  <c r="AJ12" i="10"/>
  <c r="AJ13" i="10"/>
  <c r="AJ14" i="10"/>
  <c r="AJ15" i="10"/>
  <c r="AJ16" i="10"/>
  <c r="AJ17" i="10"/>
  <c r="AJ19" i="10"/>
  <c r="AJ21" i="10"/>
  <c r="AJ22" i="10"/>
  <c r="AJ23" i="10"/>
  <c r="AJ24" i="10"/>
  <c r="AJ26" i="10"/>
  <c r="AJ30" i="10"/>
  <c r="AJ31" i="10"/>
  <c r="AJ32" i="10"/>
  <c r="AJ4" i="10"/>
  <c r="AI5" i="10"/>
  <c r="AI7" i="10"/>
  <c r="AI8" i="10"/>
  <c r="AI10" i="10"/>
  <c r="AI11" i="10"/>
  <c r="AI12" i="10"/>
  <c r="AI13" i="10"/>
  <c r="AI14" i="10"/>
  <c r="AI15" i="10"/>
  <c r="AI16" i="10"/>
  <c r="AI17" i="10"/>
  <c r="AI19" i="10"/>
  <c r="AI21" i="10"/>
  <c r="AI22" i="10"/>
  <c r="AI23" i="10"/>
  <c r="AI24" i="10"/>
  <c r="AI25" i="10"/>
  <c r="AI30" i="10"/>
  <c r="AI31" i="10"/>
  <c r="AI32" i="10"/>
  <c r="AI4" i="10"/>
  <c r="AH5" i="10"/>
  <c r="AH7" i="10"/>
  <c r="AH8" i="10"/>
  <c r="AH9" i="10"/>
  <c r="AH11" i="10"/>
  <c r="AH12" i="10"/>
  <c r="AH13" i="10"/>
  <c r="AH14" i="10"/>
  <c r="AH15" i="10"/>
  <c r="AH16" i="10"/>
  <c r="AH17" i="10"/>
  <c r="AH19" i="10"/>
  <c r="AH21" i="10"/>
  <c r="AH22" i="10"/>
  <c r="AH23" i="10"/>
  <c r="AH24" i="10"/>
  <c r="AH25" i="10"/>
  <c r="AH30" i="10"/>
  <c r="AH31" i="10"/>
  <c r="AH32" i="10"/>
  <c r="AH4" i="10"/>
  <c r="AL27" i="8"/>
  <c r="AK27" i="8"/>
  <c r="AJ27" i="8"/>
  <c r="AI27" i="8"/>
  <c r="AH27" i="8"/>
  <c r="AH10" i="8"/>
  <c r="AK10" i="8"/>
  <c r="AH8" i="8"/>
  <c r="AL10" i="8"/>
  <c r="AJ10" i="8"/>
  <c r="AI10" i="8"/>
  <c r="AL31" i="8"/>
  <c r="AK31" i="8"/>
  <c r="AJ31" i="8"/>
  <c r="AI31" i="8"/>
  <c r="AH31" i="8"/>
  <c r="AH25" i="8"/>
  <c r="AH26" i="8"/>
  <c r="AI25" i="8"/>
  <c r="AI26" i="8"/>
  <c r="AJ25" i="8"/>
  <c r="AJ26" i="8"/>
  <c r="AL26" i="8"/>
  <c r="AK26" i="8"/>
  <c r="AK25" i="8"/>
  <c r="AL25" i="8"/>
  <c r="AL9" i="8"/>
  <c r="AK9" i="8"/>
  <c r="AJ9" i="8"/>
  <c r="AI9" i="8"/>
  <c r="AH9" i="8"/>
  <c r="AL30" i="8"/>
  <c r="AK30" i="8"/>
  <c r="AJ30" i="8"/>
  <c r="AI30" i="8"/>
  <c r="AH30" i="8"/>
  <c r="AK20" i="8"/>
  <c r="AL28" i="8"/>
  <c r="AK28" i="8"/>
  <c r="AI24" i="8"/>
  <c r="AJ28" i="8"/>
  <c r="AH28" i="8"/>
  <c r="AK9" i="7"/>
  <c r="AJ9" i="7"/>
  <c r="AI9" i="7"/>
  <c r="AH9" i="7"/>
  <c r="AG9" i="7"/>
  <c r="AL29" i="8"/>
  <c r="AK29" i="8"/>
  <c r="AJ29" i="8"/>
  <c r="AI29" i="8"/>
  <c r="AH29" i="8"/>
  <c r="AL24" i="8"/>
  <c r="AK24" i="8"/>
  <c r="AJ24" i="8"/>
  <c r="AI28" i="8"/>
  <c r="AH24" i="8"/>
  <c r="AL23" i="8"/>
  <c r="AK23" i="8"/>
  <c r="AJ23" i="8"/>
  <c r="AI23" i="8"/>
  <c r="AH23" i="8"/>
  <c r="AL22" i="8"/>
  <c r="AK22" i="8"/>
  <c r="AJ22" i="8"/>
  <c r="AI22" i="8"/>
  <c r="AH22" i="8"/>
  <c r="AL21" i="8"/>
  <c r="AK21" i="8"/>
  <c r="AJ21" i="8"/>
  <c r="AI21" i="8"/>
  <c r="AH21" i="8"/>
  <c r="AL20" i="8"/>
  <c r="AJ20" i="8"/>
  <c r="AI20" i="8"/>
  <c r="AH20" i="8"/>
  <c r="AL19" i="8"/>
  <c r="AK19" i="8"/>
  <c r="AJ19" i="8"/>
  <c r="AI19" i="8"/>
  <c r="AH19" i="8"/>
  <c r="AL18" i="8"/>
  <c r="AK18" i="8"/>
  <c r="AJ18" i="8"/>
  <c r="AI18" i="8"/>
  <c r="AH18" i="8"/>
  <c r="AL17" i="8"/>
  <c r="AK17" i="8"/>
  <c r="AJ17" i="8"/>
  <c r="AI17" i="8"/>
  <c r="AH17" i="8"/>
  <c r="AL16" i="8"/>
  <c r="AK16" i="8"/>
  <c r="AJ16" i="8"/>
  <c r="AI16" i="8"/>
  <c r="AH16" i="8"/>
  <c r="AL15" i="8"/>
  <c r="AK15" i="8"/>
  <c r="AJ15" i="8"/>
  <c r="AI15" i="8"/>
  <c r="AH15" i="8"/>
  <c r="AL14" i="8"/>
  <c r="AK14" i="8"/>
  <c r="AJ14" i="8"/>
  <c r="AI14" i="8"/>
  <c r="AH14" i="8"/>
  <c r="AL13" i="8"/>
  <c r="AK13" i="8"/>
  <c r="AJ13" i="8"/>
  <c r="AI13" i="8"/>
  <c r="AH13" i="8"/>
  <c r="AL12" i="8"/>
  <c r="AK12" i="8"/>
  <c r="AJ12" i="8"/>
  <c r="AI12" i="8"/>
  <c r="AH12" i="8"/>
  <c r="AL11" i="8"/>
  <c r="AK11" i="8"/>
  <c r="AJ11" i="8"/>
  <c r="AI11" i="8"/>
  <c r="AH11" i="8"/>
  <c r="AL8" i="8"/>
  <c r="AK8" i="8"/>
  <c r="AJ8" i="8"/>
  <c r="AI8" i="8"/>
  <c r="AL7" i="8"/>
  <c r="AK7" i="8"/>
  <c r="AJ7" i="8"/>
  <c r="AI7" i="8"/>
  <c r="AH7" i="8"/>
  <c r="AL6" i="8"/>
  <c r="AK6" i="8"/>
  <c r="AJ6" i="8"/>
  <c r="AI6" i="8"/>
  <c r="AH6" i="8"/>
  <c r="AL5" i="8"/>
  <c r="AK5" i="8"/>
  <c r="AJ5" i="8"/>
  <c r="AI5" i="8"/>
  <c r="AH5" i="8"/>
  <c r="AL4" i="8"/>
  <c r="AK4" i="8"/>
  <c r="AJ4" i="8"/>
  <c r="AI4" i="8"/>
  <c r="AH4" i="8"/>
  <c r="AK23" i="7"/>
  <c r="AK19" i="7"/>
  <c r="AJ19" i="7"/>
  <c r="AI19" i="7"/>
  <c r="AH19" i="7"/>
  <c r="AG19" i="7"/>
  <c r="AJ22" i="7"/>
  <c r="AI23" i="7"/>
  <c r="AH23" i="7"/>
  <c r="AG23" i="7"/>
  <c r="AH18" i="7"/>
  <c r="AI18" i="7"/>
  <c r="AJ18" i="7"/>
  <c r="AK18" i="7"/>
  <c r="AH21" i="7"/>
  <c r="AI21" i="7"/>
  <c r="AJ21" i="7"/>
  <c r="AK21" i="7"/>
  <c r="AK5" i="7"/>
  <c r="AK6" i="7"/>
  <c r="AK7" i="7"/>
  <c r="AK8" i="7"/>
  <c r="AK10" i="7"/>
  <c r="AK11" i="7"/>
  <c r="AK12" i="7"/>
  <c r="AK13" i="7"/>
  <c r="AK14" i="7"/>
  <c r="AK15" i="7"/>
  <c r="AK16" i="7"/>
  <c r="AK17" i="7"/>
  <c r="AK20" i="7"/>
  <c r="AK22" i="7"/>
  <c r="AK24" i="7"/>
  <c r="AK25" i="7"/>
  <c r="AK26" i="7"/>
  <c r="AK27" i="7"/>
  <c r="AK28" i="7"/>
  <c r="AK29" i="7"/>
  <c r="AK30" i="7"/>
  <c r="AK31" i="7"/>
  <c r="AK32" i="7"/>
  <c r="AK33" i="7"/>
  <c r="AK4" i="7"/>
  <c r="AJ5" i="7"/>
  <c r="AJ6" i="7"/>
  <c r="AJ7" i="7"/>
  <c r="AJ8" i="7"/>
  <c r="AJ10" i="7"/>
  <c r="AJ11" i="7"/>
  <c r="AJ12" i="7"/>
  <c r="AJ13" i="7"/>
  <c r="AJ14" i="7"/>
  <c r="AJ15" i="7"/>
  <c r="AJ16" i="7"/>
  <c r="AJ17" i="7"/>
  <c r="AJ20" i="7"/>
  <c r="AJ23" i="7"/>
  <c r="AJ24" i="7"/>
  <c r="AJ25" i="7"/>
  <c r="AJ26" i="7"/>
  <c r="AJ27" i="7"/>
  <c r="AJ28" i="7"/>
  <c r="AJ29" i="7"/>
  <c r="AJ30" i="7"/>
  <c r="AJ31" i="7"/>
  <c r="AJ32" i="7"/>
  <c r="AJ33" i="7"/>
  <c r="AJ4" i="7"/>
  <c r="AI5" i="7"/>
  <c r="AI6" i="7"/>
  <c r="AI7" i="7"/>
  <c r="AI8" i="7"/>
  <c r="AI10" i="7"/>
  <c r="AI11" i="7"/>
  <c r="AI12" i="7"/>
  <c r="AI13" i="7"/>
  <c r="AI14" i="7"/>
  <c r="AI15" i="7"/>
  <c r="AI16" i="7"/>
  <c r="AI17" i="7"/>
  <c r="AI20" i="7"/>
  <c r="AI22" i="7"/>
  <c r="AI24" i="7"/>
  <c r="AI25" i="7"/>
  <c r="AI26" i="7"/>
  <c r="AI27" i="7"/>
  <c r="AI28" i="7"/>
  <c r="AI29" i="7"/>
  <c r="AI30" i="7"/>
  <c r="AI31" i="7"/>
  <c r="AI32" i="7"/>
  <c r="AI33" i="7"/>
  <c r="AI4" i="7"/>
  <c r="AH5" i="7"/>
  <c r="AH6" i="7"/>
  <c r="AH7" i="7"/>
  <c r="AH8" i="7"/>
  <c r="AH10" i="7"/>
  <c r="AH11" i="7"/>
  <c r="AH12" i="7"/>
  <c r="AH13" i="7"/>
  <c r="AH14" i="7"/>
  <c r="AH15" i="7"/>
  <c r="AH16" i="7"/>
  <c r="AH17" i="7"/>
  <c r="AH20" i="7"/>
  <c r="AH22" i="7"/>
  <c r="AH24" i="7"/>
  <c r="AH25" i="7"/>
  <c r="AH26" i="7"/>
  <c r="AH27" i="7"/>
  <c r="AH28" i="7"/>
  <c r="AH29" i="7"/>
  <c r="AH30" i="7"/>
  <c r="AH31" i="7"/>
  <c r="AH32" i="7"/>
  <c r="AH33" i="7"/>
  <c r="AH4" i="7"/>
  <c r="AG4" i="7"/>
  <c r="AG5" i="7"/>
  <c r="AG6" i="7"/>
  <c r="AG7" i="7"/>
  <c r="AG8" i="7"/>
  <c r="AG10" i="7"/>
  <c r="AG11" i="7"/>
  <c r="AG12" i="7"/>
  <c r="AG13" i="7"/>
  <c r="AG14" i="7"/>
  <c r="AG15" i="7"/>
  <c r="AG16" i="7"/>
  <c r="AG17" i="7"/>
  <c r="AG18" i="7"/>
  <c r="AG20" i="7"/>
  <c r="AG21" i="7"/>
  <c r="AG22" i="7"/>
  <c r="AG24" i="7"/>
  <c r="AG25" i="7"/>
  <c r="AG26" i="7"/>
  <c r="AG27" i="7"/>
  <c r="AG28" i="7"/>
  <c r="AG29" i="7"/>
  <c r="AG30" i="7"/>
  <c r="AG31" i="7"/>
  <c r="AG32" i="7"/>
  <c r="AG33" i="7"/>
  <c r="AH4" i="6"/>
  <c r="AH13" i="6"/>
  <c r="AI13" i="6"/>
  <c r="AJ13" i="6"/>
  <c r="AK13" i="6"/>
  <c r="AL13" i="6"/>
  <c r="AH14" i="6"/>
  <c r="AI14" i="6"/>
  <c r="AJ14" i="6"/>
  <c r="AK14" i="6"/>
  <c r="AL14" i="6"/>
  <c r="AH15" i="6"/>
  <c r="AI15" i="6"/>
  <c r="AJ15" i="6"/>
  <c r="AK15" i="6"/>
  <c r="AL15" i="6"/>
  <c r="AH16" i="6"/>
  <c r="AI16" i="6"/>
  <c r="AJ16" i="6"/>
  <c r="AK16" i="6"/>
  <c r="AL16" i="6"/>
  <c r="AH17" i="6"/>
  <c r="AI17" i="6"/>
  <c r="AJ17" i="6"/>
  <c r="AK17" i="6"/>
  <c r="AL17" i="6"/>
  <c r="AH18" i="6"/>
  <c r="AI18" i="6"/>
  <c r="AJ18" i="6"/>
  <c r="AK18" i="6"/>
  <c r="AL18" i="6"/>
  <c r="AH19" i="6"/>
  <c r="AI19" i="6"/>
  <c r="AJ19" i="6"/>
  <c r="AK19" i="6"/>
  <c r="AL19" i="6"/>
  <c r="AH20" i="6"/>
  <c r="AI20" i="6"/>
  <c r="AJ20" i="6"/>
  <c r="AK20" i="6"/>
  <c r="AL20" i="6"/>
  <c r="AH21" i="6"/>
  <c r="AI21" i="6"/>
  <c r="AJ21" i="6"/>
  <c r="AK21" i="6"/>
  <c r="AL21" i="6"/>
  <c r="AH22" i="6"/>
  <c r="AI22" i="6"/>
  <c r="AJ22" i="6"/>
  <c r="AK22" i="6"/>
  <c r="AL22" i="6"/>
  <c r="AH23" i="6"/>
  <c r="AI23" i="6"/>
  <c r="AJ23" i="6"/>
  <c r="AK23" i="6"/>
  <c r="AL23" i="6"/>
  <c r="AH24" i="6"/>
  <c r="AI24" i="6"/>
  <c r="AJ24" i="6"/>
  <c r="AK24" i="6"/>
  <c r="AL24" i="6"/>
  <c r="AH25" i="6"/>
  <c r="AI25" i="6"/>
  <c r="AJ25" i="6"/>
  <c r="AK25" i="6"/>
  <c r="AL25" i="6"/>
  <c r="AH26" i="6"/>
  <c r="AI26" i="6"/>
  <c r="AJ26" i="6"/>
  <c r="AK26" i="6"/>
  <c r="AL26" i="6"/>
  <c r="AH27" i="6"/>
  <c r="AI27" i="6"/>
  <c r="AJ27" i="6"/>
  <c r="AK27" i="6"/>
  <c r="AL27" i="6"/>
  <c r="AH28" i="6"/>
  <c r="AI28" i="6"/>
  <c r="AJ28" i="6"/>
  <c r="AK28" i="6"/>
  <c r="AL28" i="6"/>
  <c r="AH29" i="6"/>
  <c r="AI29" i="6"/>
  <c r="AJ29" i="6"/>
  <c r="AK29" i="6"/>
  <c r="AL29" i="6"/>
  <c r="AI12" i="6"/>
  <c r="AJ12" i="6"/>
  <c r="AK12" i="6"/>
  <c r="AL12" i="6"/>
  <c r="AH30" i="6"/>
  <c r="AI30" i="6"/>
  <c r="AJ30" i="6"/>
  <c r="AK30" i="6"/>
  <c r="AL30" i="6"/>
  <c r="AI6" i="6"/>
  <c r="AJ6" i="6"/>
  <c r="AH5" i="6"/>
  <c r="AH6" i="6"/>
  <c r="AH10" i="6"/>
  <c r="AI10" i="6"/>
  <c r="AJ10" i="6"/>
  <c r="AK10" i="6"/>
  <c r="AL10" i="6"/>
  <c r="AH9" i="6"/>
  <c r="AI9" i="6"/>
  <c r="AJ9" i="6"/>
  <c r="AK9" i="6"/>
  <c r="AL9" i="6"/>
  <c r="AH7" i="6"/>
  <c r="AH8" i="6"/>
  <c r="AI8" i="6"/>
  <c r="AJ8" i="6"/>
  <c r="AK8" i="6"/>
  <c r="AL8" i="6"/>
  <c r="AE31" i="2"/>
  <c r="AF31" i="2"/>
  <c r="AG31" i="2"/>
  <c r="AH31" i="2"/>
  <c r="AI31" i="2"/>
  <c r="AE32" i="2"/>
  <c r="AF32" i="2"/>
  <c r="AG32" i="2"/>
  <c r="AH32" i="2"/>
  <c r="AI32" i="2"/>
  <c r="AE30" i="2"/>
  <c r="AF30" i="2"/>
  <c r="AG30" i="2"/>
  <c r="AH30" i="2"/>
  <c r="AI30" i="2"/>
  <c r="AE33" i="2"/>
  <c r="AF33" i="2"/>
  <c r="AG33" i="2"/>
  <c r="AH33" i="2"/>
  <c r="AI33" i="2"/>
  <c r="AE34" i="2"/>
  <c r="AF34" i="2"/>
  <c r="AG34" i="2"/>
  <c r="AH34" i="2"/>
  <c r="AI34" i="2"/>
  <c r="AE26" i="2"/>
  <c r="AF26" i="2"/>
  <c r="AG26" i="2"/>
  <c r="AH26" i="2"/>
  <c r="AI26" i="2"/>
  <c r="AE27" i="2"/>
  <c r="AF27" i="2"/>
  <c r="AG27" i="2"/>
  <c r="AH27" i="2"/>
  <c r="AI27" i="2"/>
  <c r="AE28" i="2"/>
  <c r="AF28" i="2"/>
  <c r="AG28" i="2"/>
  <c r="AH28" i="2"/>
  <c r="AI28" i="2"/>
  <c r="AE29" i="2"/>
  <c r="AF29" i="2"/>
  <c r="AG29" i="2"/>
  <c r="AH29" i="2"/>
  <c r="AI29" i="2"/>
  <c r="AE35" i="2"/>
  <c r="AF35" i="2"/>
  <c r="AG35" i="2"/>
  <c r="AH35" i="2"/>
  <c r="AI35" i="2"/>
  <c r="AE36" i="2"/>
  <c r="AF36" i="2"/>
  <c r="AG36" i="2"/>
  <c r="AH36" i="2"/>
  <c r="AI36" i="2"/>
  <c r="AE9" i="2"/>
  <c r="AF9" i="2"/>
  <c r="AG9" i="2"/>
  <c r="AH9" i="2"/>
  <c r="AI9" i="2"/>
  <c r="AE10" i="2"/>
  <c r="AF10" i="2"/>
  <c r="AG10" i="2"/>
  <c r="AH10" i="2"/>
  <c r="AI10" i="2"/>
  <c r="AE11" i="2"/>
  <c r="AF11" i="2"/>
  <c r="AG11" i="2"/>
  <c r="AH11" i="2"/>
  <c r="AI11" i="2"/>
  <c r="AE12" i="2"/>
  <c r="AF12" i="2"/>
  <c r="AG12" i="2"/>
  <c r="AH12" i="2"/>
  <c r="AI12" i="2"/>
  <c r="AE13" i="2"/>
  <c r="AF13" i="2"/>
  <c r="AG13" i="2"/>
  <c r="AH13" i="2"/>
  <c r="AI13" i="2"/>
  <c r="AE14" i="2"/>
  <c r="AF14" i="2"/>
  <c r="AG14" i="2"/>
  <c r="AH14" i="2"/>
  <c r="AI14" i="2"/>
  <c r="AE15" i="2"/>
  <c r="AF15" i="2"/>
  <c r="AG15" i="2"/>
  <c r="AH15" i="2"/>
  <c r="AI15" i="2"/>
  <c r="AE16" i="2"/>
  <c r="AF16" i="2"/>
  <c r="AG16" i="2"/>
  <c r="AH16" i="2"/>
  <c r="AI16" i="2"/>
  <c r="AE17" i="2"/>
  <c r="AF17" i="2"/>
  <c r="AG17" i="2"/>
  <c r="AH17" i="2"/>
  <c r="AI17" i="2"/>
  <c r="AE18" i="2"/>
  <c r="AF18" i="2"/>
  <c r="AG18" i="2"/>
  <c r="AH18" i="2"/>
  <c r="AI18" i="2"/>
  <c r="AE19" i="2"/>
  <c r="AF19" i="2"/>
  <c r="AG19" i="2"/>
  <c r="AH19" i="2"/>
  <c r="AI19" i="2"/>
  <c r="AE20" i="2"/>
  <c r="AF20" i="2"/>
  <c r="AG20" i="2"/>
  <c r="AH20" i="2"/>
  <c r="AI20" i="2"/>
  <c r="AE21" i="2"/>
  <c r="AF21" i="2"/>
  <c r="AG21" i="2"/>
  <c r="AH21" i="2"/>
  <c r="AI21" i="2"/>
  <c r="AE22" i="2"/>
  <c r="AF22" i="2"/>
  <c r="AG22" i="2"/>
  <c r="AH22" i="2"/>
  <c r="AI22" i="2"/>
  <c r="AE23" i="2"/>
  <c r="AF23" i="2"/>
  <c r="AG23" i="2"/>
  <c r="AH23" i="2"/>
  <c r="AI23" i="2"/>
  <c r="AE24" i="2"/>
  <c r="AF24" i="2"/>
  <c r="AG24" i="2"/>
  <c r="AH24" i="2"/>
  <c r="AI24" i="2"/>
  <c r="AE25" i="2"/>
  <c r="AF25" i="2"/>
  <c r="AG25" i="2"/>
  <c r="AH25" i="2"/>
  <c r="AI25" i="2"/>
  <c r="AH11" i="6"/>
  <c r="AH12" i="6"/>
  <c r="AL31" i="6"/>
  <c r="AK31" i="6"/>
  <c r="AJ31" i="6"/>
  <c r="AI31" i="6"/>
  <c r="AH31" i="6"/>
  <c r="AL11" i="6"/>
  <c r="AK11" i="6"/>
  <c r="AJ11" i="6"/>
  <c r="AI11" i="6"/>
  <c r="AI5" i="2"/>
  <c r="AF6" i="2"/>
  <c r="AG6" i="2"/>
  <c r="AH6" i="2"/>
  <c r="AI6" i="2"/>
  <c r="AE4" i="2"/>
  <c r="AE5" i="2"/>
  <c r="AF5" i="2"/>
  <c r="AG5" i="2"/>
  <c r="AH5" i="2"/>
  <c r="AE6" i="2"/>
  <c r="AE7" i="2"/>
  <c r="AF7" i="2"/>
  <c r="AG7" i="2"/>
  <c r="AH7" i="2"/>
  <c r="AI7" i="2"/>
  <c r="AE8" i="2"/>
  <c r="AF8" i="2"/>
  <c r="AG8" i="2"/>
  <c r="AH8" i="2"/>
  <c r="AI8" i="2"/>
  <c r="AI5" i="1"/>
  <c r="AI4" i="1"/>
  <c r="AI24" i="1"/>
  <c r="AJ24" i="1"/>
  <c r="AK24" i="1"/>
  <c r="AL24" i="1"/>
  <c r="AM24" i="1"/>
  <c r="AI25" i="1"/>
  <c r="AJ25" i="1"/>
  <c r="AK25" i="1"/>
  <c r="AL25" i="1"/>
  <c r="AM25" i="1"/>
  <c r="AI26" i="1"/>
  <c r="AJ26" i="1"/>
  <c r="AK26" i="1"/>
  <c r="AL26" i="1"/>
  <c r="AM26" i="1"/>
  <c r="AI23" i="1"/>
  <c r="AJ23" i="1"/>
  <c r="AK23" i="1"/>
  <c r="AL23" i="1"/>
  <c r="AM23" i="1"/>
  <c r="AL27" i="1"/>
  <c r="AK27" i="1"/>
  <c r="AK28" i="1"/>
  <c r="AM27" i="1"/>
  <c r="AJ27" i="1"/>
  <c r="AI27" i="1"/>
  <c r="AJ22" i="1"/>
  <c r="AK22" i="1"/>
  <c r="AL22" i="1"/>
  <c r="AM22" i="1"/>
  <c r="AI9" i="1"/>
  <c r="AJ9" i="1"/>
  <c r="AK9" i="1"/>
  <c r="AL9" i="1"/>
  <c r="AM9" i="1"/>
  <c r="AI10" i="1"/>
  <c r="AJ10" i="1"/>
  <c r="AK10" i="1"/>
  <c r="AL10" i="1"/>
  <c r="AM10" i="1"/>
  <c r="AI11" i="1"/>
  <c r="AJ11" i="1"/>
  <c r="AK11" i="1"/>
  <c r="AL11" i="1"/>
  <c r="AM11" i="1"/>
  <c r="AI12" i="1"/>
  <c r="AJ12" i="1"/>
  <c r="AK12" i="1"/>
  <c r="AL12" i="1"/>
  <c r="AM12" i="1"/>
  <c r="AI13" i="1"/>
  <c r="AJ13" i="1"/>
  <c r="AK13" i="1"/>
  <c r="AL13" i="1"/>
  <c r="AM13" i="1"/>
  <c r="AI14" i="1"/>
  <c r="AJ14" i="1"/>
  <c r="AK14" i="1"/>
  <c r="AL14" i="1"/>
  <c r="AM14" i="1"/>
  <c r="AI15" i="1"/>
  <c r="AJ15" i="1"/>
  <c r="AK15" i="1"/>
  <c r="AL15" i="1"/>
  <c r="AM15" i="1"/>
  <c r="AI16" i="1"/>
  <c r="AJ16" i="1"/>
  <c r="AK16" i="1"/>
  <c r="AL16" i="1"/>
  <c r="AM16" i="1"/>
  <c r="AI17" i="1"/>
  <c r="AJ17" i="1"/>
  <c r="AK17" i="1"/>
  <c r="AL17" i="1"/>
  <c r="AM17" i="1"/>
  <c r="AI18" i="1"/>
  <c r="AJ18" i="1"/>
  <c r="AK18" i="1"/>
  <c r="AL18" i="1"/>
  <c r="AM18" i="1"/>
  <c r="AI19" i="1"/>
  <c r="AJ19" i="1"/>
  <c r="AK19" i="1"/>
  <c r="AL19" i="1"/>
  <c r="AM19" i="1"/>
  <c r="AI20" i="1"/>
  <c r="AJ20" i="1"/>
  <c r="AK20" i="1"/>
  <c r="AL20" i="1"/>
  <c r="AM20" i="1"/>
  <c r="AI21" i="1"/>
  <c r="AJ21" i="1"/>
  <c r="AK21" i="1"/>
  <c r="AL21" i="1"/>
  <c r="AM21" i="1"/>
  <c r="AI22" i="1"/>
  <c r="AI28" i="1"/>
  <c r="AJ28" i="1"/>
  <c r="AL28" i="1"/>
  <c r="AM28" i="1"/>
  <c r="AI29" i="1"/>
  <c r="AJ29" i="1"/>
  <c r="AK29" i="1"/>
  <c r="AL29" i="1"/>
  <c r="AM29" i="1"/>
  <c r="AJ4" i="1"/>
  <c r="AK4" i="1"/>
  <c r="AL4" i="1"/>
  <c r="AM4" i="1"/>
  <c r="AJ5" i="1"/>
  <c r="AK5" i="1"/>
  <c r="AL5" i="1"/>
  <c r="AM5" i="1"/>
  <c r="AI6" i="1"/>
  <c r="AJ6" i="1"/>
  <c r="AK6" i="1"/>
  <c r="AL6" i="1"/>
  <c r="AM6" i="1"/>
  <c r="AI7" i="1"/>
  <c r="AJ7" i="1"/>
  <c r="AK7" i="1"/>
  <c r="AL7" i="1"/>
  <c r="AM7" i="1"/>
  <c r="AI8" i="1"/>
  <c r="AJ8" i="1"/>
  <c r="AK8" i="1"/>
  <c r="AL8" i="1"/>
  <c r="AM8" i="1"/>
  <c r="AI30" i="1"/>
  <c r="AJ30" i="1"/>
  <c r="AK30" i="1"/>
  <c r="AL30" i="1"/>
  <c r="AM30" i="1"/>
  <c r="AI31" i="1"/>
  <c r="AJ31" i="1"/>
  <c r="AK31" i="1"/>
  <c r="AL31" i="1"/>
  <c r="AM31" i="1"/>
  <c r="AH11" i="11" l="1"/>
  <c r="AJ11" i="11"/>
  <c r="AL1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N8" authorId="0" shapeId="0" xr:uid="{F746944A-225D-44BC-AE1E-7E0D225172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se presento al PDV 
</t>
        </r>
      </text>
    </comment>
    <comment ref="T8" authorId="0" shapeId="0" xr:uid="{00FD191E-5B19-47F3-A554-2257371857D2}">
      <text>
        <r>
          <rPr>
            <b/>
            <sz val="9"/>
            <color indexed="81"/>
            <rFont val="Tahoma"/>
            <charset val="1"/>
          </rPr>
          <t>no se presento  al pdv presento comprobante medico: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8" authorId="0" shapeId="0" xr:uid="{73D884E6-42CA-43F7-91D5-7FD69F0F598F}">
      <text>
        <r>
          <rPr>
            <sz val="9"/>
            <color indexed="81"/>
            <rFont val="Tahoma"/>
            <charset val="1"/>
          </rPr>
          <t>INCAPACIDAD INS
SOA</t>
        </r>
      </text>
    </comment>
    <comment ref="AG8" authorId="0" shapeId="0" xr:uid="{9D80D8F1-66CD-487A-B676-A1460FE4D9F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LE CAYO LA CASA</t>
        </r>
      </text>
    </comment>
    <comment ref="F9" authorId="0" shapeId="0" xr:uid="{630E155C-B3AC-4B27-B528-23EEF72FEE3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nio se presento PDV 
presento comprobanten de asistencia medica</t>
        </r>
      </text>
    </comment>
    <comment ref="U19" authorId="0" shapeId="0" xr:uid="{68E3E271-2DD4-44DB-A329-0B5E120EC87E}">
      <text>
        <r>
          <rPr>
            <sz val="9"/>
            <color indexed="81"/>
            <rFont val="Tahoma"/>
            <charset val="1"/>
          </rPr>
          <t>no se  preseento a alaborar</t>
        </r>
      </text>
    </comment>
    <comment ref="V23" authorId="0" shapeId="0" xr:uid="{54677EA0-6486-496B-A3C6-7AF241D04F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despido</t>
        </r>
      </text>
    </comment>
    <comment ref="M25" authorId="0" shapeId="0" xr:uid="{57E2D439-F1CB-4017-AAF6-411C8C71F77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 a las 2 pm</t>
        </r>
      </text>
    </comment>
    <comment ref="P25" authorId="0" shapeId="0" xr:uid="{5F17D3DA-9329-433C-B812-090C9CCE63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A BACK UP</t>
        </r>
      </text>
    </comment>
    <comment ref="Q26" authorId="0" shapeId="0" xr:uid="{F4985399-D09B-4F3E-8DCA-D2C678EE54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INICIO COMO BACK UPO</t>
        </r>
      </text>
    </comment>
    <comment ref="O27" authorId="0" shapeId="0" xr:uid="{BEB8EBD5-8B50-4EE5-BC92-97F03621BD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APUNTO FIJO</t>
        </r>
      </text>
    </comment>
    <comment ref="O28" authorId="0" shapeId="0" xr:uid="{288EFE3F-0DCC-47E7-B6AC-C1287620C7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INICIO PDV FIJO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8" authorId="0" shapeId="0" xr:uid="{C9512926-E283-4BFD-98D7-C67294A5EC03}">
      <text>
        <r>
          <rPr>
            <b/>
            <sz val="9"/>
            <color indexed="81"/>
            <rFont val="Tahoma"/>
            <charset val="1"/>
          </rPr>
          <t>debe pagar tiempo</t>
        </r>
      </text>
    </comment>
    <comment ref="H9" authorId="0" shapeId="0" xr:uid="{B53910B5-F26E-407E-87D2-6FE9EAE43FC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despido</t>
        </r>
      </text>
    </comment>
    <comment ref="Q12" authorId="0" shapeId="0" xr:uid="{C830FC8F-CFAC-4EA6-8A83-B8BA5682EB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,presento comprobante</t>
        </r>
      </text>
    </comment>
    <comment ref="V12" authorId="0" shapeId="0" xr:uid="{C6DC2977-1AEB-40F1-8E2B-628DFC0FBE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despido</t>
        </r>
      </text>
    </comment>
    <comment ref="AD13" authorId="0" shapeId="0" xr:uid="{8CBA4E55-982A-4502-896E-B1EDEDA2306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se presento a laborar</t>
        </r>
      </text>
    </comment>
    <comment ref="C14" authorId="0" shapeId="0" xr:uid="{84CDC277-B988-4FCE-A14A-14FB95D4F47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se presento a laborar, se le enfermo el hijo prento comprobante medico</t>
        </r>
      </text>
    </comment>
    <comment ref="AC14" authorId="0" shapeId="0" xr:uid="{482ECEBA-1F68-418D-AD36-44111E9E245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se presento al pdv por falta de ninera</t>
        </r>
      </text>
    </comment>
    <comment ref="Q17" authorId="0" shapeId="0" xr:uid="{F741BEA0-ABB8-464F-8873-2D0346BA00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I23" authorId="0" shapeId="0" xr:uid="{19A308CB-F52D-4157-862F-A93F6F87756A}">
      <text>
        <r>
          <rPr>
            <b/>
            <sz val="9"/>
            <color indexed="81"/>
            <rFont val="Tahoma"/>
            <charset val="1"/>
          </rPr>
          <t>CAMBIO DE PDV</t>
        </r>
      </text>
    </comment>
    <comment ref="J24" authorId="0" shapeId="0" xr:uid="{ED2D880D-6DDB-4522-B7A7-C3ECDA683D22}">
      <text>
        <r>
          <rPr>
            <b/>
            <sz val="9"/>
            <color indexed="81"/>
            <rFont val="Tahoma"/>
            <charset val="1"/>
          </rPr>
          <t>Usernievo PDV</t>
        </r>
      </text>
    </comment>
    <comment ref="H25" authorId="0" shapeId="0" xr:uid="{676E8290-62BA-48C2-9BBB-6AC2D0BF55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renuncia6/2/25</t>
        </r>
      </text>
    </comment>
    <comment ref="G27" authorId="0" shapeId="0" xr:uid="{D5B90F8B-39CD-40AD-81AE-42C8FD1BAD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dia preaviso</t>
        </r>
      </text>
    </comment>
    <comment ref="N27" authorId="0" shapeId="0" xr:uid="{65920D78-8A7C-4302-81C4-6A5EA62E9E2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dia de preaviso</t>
        </r>
      </text>
    </comment>
    <comment ref="O27" authorId="0" shapeId="0" xr:uid="{C020CCD7-95BC-46D0-9F03-84AD50E778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I29" authorId="0" shapeId="0" xr:uid="{58A545CA-191D-40BB-83D4-C655935C69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L31" authorId="0" shapeId="0" xr:uid="{BD3C6084-EABE-43E4-B344-FC5B50D7795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 punto cubierto por Fabiola</t>
        </r>
      </text>
    </comment>
    <comment ref="AD32" authorId="0" shapeId="0" xr:uid="{827B8641-95EC-4BB5-923B-1C3835FF02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se presentpmpdv ,presento comprobante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6" authorId="0" shapeId="0" xr:uid="{C9F13904-2B58-47CD-A2D1-F337DD193E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PUNTO FIJO</t>
        </r>
      </text>
    </comment>
    <comment ref="AA11" authorId="0" shapeId="0" xr:uid="{85CA0EEE-B778-499C-8270-3D4BE0CA7F7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T12" authorId="0" shapeId="0" xr:uid="{65A32B7F-D8EB-4876-BFB7-5974CACA2BB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aucncia injustificada</t>
        </r>
      </text>
    </comment>
    <comment ref="AA12" authorId="0" shapeId="0" xr:uid="{44E164B7-6B83-4C61-93D3-8912E49AD3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J17" authorId="0" shapeId="0" xr:uid="{82B5290B-5D1E-4754-9088-8F7CDB78974B}">
      <text>
        <r>
          <rPr>
            <b/>
            <sz val="9"/>
            <color indexed="81"/>
            <rFont val="Tahoma"/>
            <charset val="1"/>
          </rPr>
          <t>User:A, presentom comprobante</t>
        </r>
      </text>
    </comment>
    <comment ref="U19" authorId="0" shapeId="0" xr:uid="{88B3A2D2-CD33-452E-9C9A-4C06356831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INJUSTIFICADA</t>
        </r>
      </text>
    </comment>
    <comment ref="O27" authorId="0" shapeId="0" xr:uid="{75AA8EFD-6F3B-44EA-A720-81DD57438C7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NOSSE PRESENTO PDV ,SOLO PRESENTO COMPROBNATE MEDICO</t>
        </r>
      </text>
    </comment>
    <comment ref="T27" authorId="0" shapeId="0" xr:uid="{37C4896B-9A8D-4728-A1FB-BEB2465F4C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DESPIDO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5" authorId="0" shapeId="0" xr:uid="{A7F40465-C9D7-4E57-AC50-46DDC19362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visita al medico y no tenia quien cuidadara asus hios
</t>
        </r>
      </text>
    </comment>
    <comment ref="AF8" authorId="0" shapeId="0" xr:uid="{7EB2C8E8-6A26-42BD-92AE-20C83BD9800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S11" authorId="0" shapeId="0" xr:uid="{3A996EC0-84A1-4D65-A156-CF470B71C74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por enfermedad de la hija</t>
        </r>
      </text>
    </comment>
    <comment ref="H13" authorId="0" shapeId="0" xr:uid="{1936E736-7AFD-4E79-ACBC-297E9852EEA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Y17" authorId="0" shapeId="0" xr:uid="{F84AE189-06C5-47AE-856A-4750A8A9F6D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a back up</t>
        </r>
      </text>
    </comment>
    <comment ref="D22" authorId="0" shapeId="0" xr:uid="{F2221FCF-3D8B-4709-9D81-B2B8952C31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hija enferma</t>
        </r>
      </text>
    </comment>
    <comment ref="E22" authorId="0" shapeId="0" xr:uid="{33C6B772-6416-40DF-851D-A52F7837083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hija enferma</t>
        </r>
      </text>
    </comment>
    <comment ref="F22" authorId="0" shapeId="0" xr:uid="{B1CA989A-CFB4-4F67-B907-50B45B257BA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justifici</t>
        </r>
      </text>
    </comment>
    <comment ref="N22" authorId="0" shapeId="0" xr:uid="{B105C4EC-DF02-4D30-9A42-55F53E5448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se presntopdv</t>
        </r>
      </text>
    </comment>
    <comment ref="P22" authorId="0" shapeId="0" xr:uid="{0D3B7135-7F81-4F52-B13C-EAA34872E1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despido</t>
        </r>
      </text>
    </comment>
    <comment ref="AA27" authorId="0" shapeId="0" xr:uid="{32C71DB4-0483-449A-B4D1-F5A05905086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A GUACHIPELI </t>
        </r>
      </text>
    </comment>
    <comment ref="AB27" authorId="0" shapeId="0" xr:uid="{17D00030-0F1A-466A-9DBE-65BCEA35B8C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ausencasin justificacion.</t>
        </r>
      </text>
    </comment>
    <comment ref="S28" authorId="0" shapeId="0" xr:uid="{0B0A2849-0435-40CB-B180-F0498133C1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desido</t>
        </r>
      </text>
    </comment>
    <comment ref="W29" authorId="0" shapeId="0" xr:uid="{1ACE6DF1-6F04-4BCC-BDC4-324800CEFD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O30" authorId="0" shapeId="0" xr:uid="{073DB23E-9495-4D2E-A718-C4A4949CC0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cita en el jusgado</t>
        </r>
      </text>
    </comment>
    <comment ref="T30" authorId="0" shapeId="0" xr:uid="{8404070B-32FF-43B2-A932-FA4C2319A3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examenes</t>
        </r>
      </text>
    </comment>
    <comment ref="Z30" authorId="0" shapeId="0" xr:uid="{E5820C79-3F58-4E12-B8F9-B160AE37363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audiencia jusgado y pani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A4" authorId="0" shapeId="0" xr:uid="{DAD42D0D-075B-4E52-BBE9-30606E0D77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retiri a las 2 pm</t>
        </r>
      </text>
    </comment>
    <comment ref="AF5" authorId="0" shapeId="0" xr:uid="{05D2D08A-B627-414E-8908-0686F2B93AD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 3 pm en=mergen femenina</t>
        </r>
      </text>
    </comment>
    <comment ref="AF6" authorId="0" shapeId="0" xr:uid="{D3E7D734-300D-44F2-975B-C84AB07E04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 5pm por enfermedad</t>
        </r>
      </text>
    </comment>
    <comment ref="AF8" authorId="0" shapeId="0" xr:uid="{9A290012-9680-4519-B77F-32F8B59F95A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snretiro por efermdada 3:30 presento compronb</t>
        </r>
      </text>
    </comment>
    <comment ref="V9" authorId="0" shapeId="0" xr:uid="{0B760B0D-37E7-403E-88CA-B1A81E83FB4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 20/5</t>
        </r>
      </text>
    </comment>
    <comment ref="O11" authorId="0" shapeId="0" xr:uid="{BDE614D7-D9CE-47FF-84B2-8EAE820226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dia si goce salarial</t>
        </r>
      </text>
    </comment>
    <comment ref="AF11" authorId="0" shapeId="0" xr:uid="{9CD6D3E9-2142-45EB-BD85-91F4743DE0A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enfermo hija</t>
        </r>
      </text>
    </comment>
    <comment ref="I16" authorId="0" shapeId="0" xr:uid="{8A39B788-683B-475E-BA6A-965637D206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enfermedad de la hija</t>
        </r>
      </text>
    </comment>
    <comment ref="Y16" authorId="0" shapeId="0" xr:uid="{BB2CD2DC-561D-4F84-B944-6278056DF5B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autorizado por Sthefany</t>
        </r>
      </text>
    </comment>
    <comment ref="N21" authorId="0" shapeId="0" xr:uid="{D3DABA8C-ED8F-42DC-9E2C-F4652588302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de proyecto</t>
        </r>
      </text>
    </comment>
    <comment ref="K22" authorId="0" shapeId="0" xr:uid="{21A67E61-C910-4A1D-8DF8-EBB2140390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retiro de tiendar por enfermedad</t>
        </r>
      </text>
    </comment>
    <comment ref="AF23" authorId="0" shapeId="0" xr:uid="{7AE90E81-F919-4B4E-9B8F-6727128D97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examenesv uned</t>
        </r>
      </text>
    </comment>
    <comment ref="C24" authorId="0" shapeId="0" xr:uid="{E5698E7F-BC24-4592-8A25-BA3E038E5A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APUNTO FIJO HERDIA SUR</t>
        </r>
      </text>
    </comment>
    <comment ref="M25" authorId="0" shapeId="0" xr:uid="{4DBC4D76-BAC5-4B44-A113-9EB3489627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NUEVO PDV</t>
        </r>
      </text>
    </comment>
    <comment ref="L26" authorId="0" shapeId="0" xr:uid="{8AE3323C-9982-493F-83EC-97C5C8AC81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CAMBO A FIJA</t>
        </r>
      </text>
    </comment>
    <comment ref="AE27" authorId="0" shapeId="0" xr:uid="{ADA32639-50EE-40D4-A939-77D6082DF2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 se presento a laborar</t>
        </r>
      </text>
    </comment>
    <comment ref="C28" authorId="0" shapeId="0" xr:uid="{9DB29635-ABDE-44B6-801A-48AF65B196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A BACKUP HEREDIA</t>
        </r>
      </text>
    </comment>
    <comment ref="S28" authorId="0" shapeId="0" xr:uid="{23EDF5CF-6386-4C3D-AC6F-4093BE14701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retiro,2:45 por enfermedad</t>
        </r>
      </text>
    </comment>
    <comment ref="G29" authorId="0" shapeId="0" xr:uid="{DAA1D947-9042-483F-AFF5-7C471444937F}">
      <text>
        <r>
          <rPr>
            <b/>
            <sz val="9"/>
            <color indexed="81"/>
            <rFont val="Tahoma"/>
            <charset val="1"/>
          </rPr>
          <t>User AU</t>
        </r>
        <r>
          <rPr>
            <sz val="9"/>
            <color indexed="81"/>
            <rFont val="Tahoma"/>
            <charset val="1"/>
          </rPr>
          <t>SENCIA INJUSTIFICADA</t>
        </r>
      </text>
    </comment>
    <comment ref="J29" authorId="0" shapeId="0" xr:uid="{E6C7B4D1-3866-4CBF-84EB-B2EF2EDD9E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REBAJAR 3 HORAS, SE RETIROVPOR AUSUNTOS FEMENINIOS</t>
        </r>
      </text>
    </comment>
    <comment ref="K29" authorId="0" shapeId="0" xr:uid="{BED69F8C-F6FD-44D7-90B8-B40089A5D9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libre sin goce salarial examenes</t>
        </r>
      </text>
    </comment>
    <comment ref="R29" authorId="0" shapeId="0" xr:uid="{67C21163-7691-46A9-B1D6-5F7991A89F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LIBRE SIN GOCE SALARIAL</t>
        </r>
      </text>
    </comment>
    <comment ref="X29" authorId="0" shapeId="0" xr:uid="{F9148CA8-5D6C-4EE6-8405-4047F11F0E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RETIR012 MD PARA IR PRESENTO COMPROBANTE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4" authorId="0" shapeId="0" xr:uid="{BD180215-4194-493D-A9D6-4EF2E2F3C64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 12 md</t>
        </r>
      </text>
    </comment>
    <comment ref="R5" authorId="0" shapeId="0" xr:uid="{07DBA461-8A65-45EB-9B05-BFFA90A6EA8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PDV</t>
        </r>
      </text>
    </comment>
    <comment ref="S6" authorId="0" shapeId="0" xr:uid="{475A4A56-8F6B-4D55-9A71-B5CEC580E9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NUEVOMPDV</t>
        </r>
      </text>
    </comment>
    <comment ref="W9" authorId="0" shapeId="0" xr:uid="{5F4FAC6D-1B4A-4549-8998-E09D9BF65C7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 11 am por enfermedas prsnto comprobante</t>
        </r>
      </text>
    </comment>
    <comment ref="O10" authorId="0" shapeId="0" xr:uid="{949F3971-0AC7-4C83-9B52-DA15B6E7F1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salisa de tienda 3:38 
con cmpronamte</t>
        </r>
      </text>
    </comment>
    <comment ref="AA15" authorId="0" shapeId="0" xr:uid="{01CA57D6-CD6E-4DAD-8AA3-468ECD9470D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 , laboro hasta las 2 y 30</t>
        </r>
      </text>
    </comment>
    <comment ref="I16" authorId="0" shapeId="0" xr:uid="{7ADEE2E7-9764-4DBA-9B07-092D0C8023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injustifivada</t>
        </r>
      </text>
    </comment>
    <comment ref="H19" authorId="0" shapeId="0" xr:uid="{A1B1FD1C-4379-4912-BC9B-EF3D485A0A5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enfermrdad de su hijo</t>
        </r>
      </text>
    </comment>
    <comment ref="I19" authorId="0" shapeId="0" xr:uid="{0C81ACC4-352C-4439-BC00-4358B3407F6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enfermedad de su oro hijo</t>
        </r>
      </text>
    </comment>
    <comment ref="N19" authorId="0" shapeId="0" xr:uid="{CC0F50C2-7D3B-4A5C-9F93-6BBD709DF6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enfermedad hijo</t>
        </r>
      </text>
    </comment>
    <comment ref="R19" authorId="0" shapeId="0" xr:uid="{048F1068-CF74-46D1-A807-3B980DBC06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DE PDV</t>
        </r>
      </text>
    </comment>
    <comment ref="S20" authorId="0" shapeId="0" xr:uid="{BB0016B2-AED4-4494-B5ED-7DA1B783F40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NUEVO PDV</t>
        </r>
      </text>
    </comment>
    <comment ref="U20" authorId="0" shapeId="0" xr:uid="{06C2EF44-840B-464D-9187-1C2E1907BF0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PREDENTO COMPRBANTE</t>
        </r>
      </text>
    </comment>
    <comment ref="W20" authorId="0" shapeId="0" xr:uid="{6D7888B7-4D3D-4F24-A1DA-9DB70F095C6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retiro2
:30 por enfermedad</t>
        </r>
      </text>
    </comment>
    <comment ref="R25" authorId="0" shapeId="0" xr:uid="{8707D5DB-8F49-42B6-8D61-4785E9B679C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26" authorId="0" shapeId="0" xr:uid="{A110A681-8745-479D-9AB9-313B514D6A4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NUEVO PDV</t>
        </r>
      </text>
    </comment>
    <comment ref="O32" authorId="0" shapeId="0" xr:uid="{76E4D160-F337-433B-8C3F-320AC22A1BC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 retiro 12 md</t>
        </r>
      </text>
    </comment>
    <comment ref="T32" authorId="0" shapeId="0" xr:uid="{1371549D-618B-4461-9DC1-6B0A6260CC9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por enfermadad del hijo</t>
        </r>
      </text>
    </comment>
    <comment ref="X32" authorId="0" shapeId="0" xr:uid="{C3B6F7D0-81F2-4850-82B2-51648E3A3C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4" authorId="0" shapeId="0" xr:uid="{728228B3-8F2C-4E3B-826D-990FD595DE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aucencia enfermedaada hjo</t>
        </r>
      </text>
    </comment>
    <comment ref="K5" authorId="0" shapeId="0" xr:uid="{23EECE8E-6C57-423C-94BD-BC3B913C0D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injustificada</t>
        </r>
      </text>
    </comment>
    <comment ref="U8" authorId="0" shapeId="0" xr:uid="{16F53437-6B78-45FD-AA68-351F45B5FC13}">
      <text>
        <r>
          <rPr>
            <b/>
            <sz val="9"/>
            <color indexed="81"/>
            <rFont val="Tahoma"/>
            <charset val="1"/>
          </rPr>
          <t>enfermedad de la hij</t>
        </r>
      </text>
    </comment>
    <comment ref="J16" authorId="0" shapeId="0" xr:uid="{BBAF1C6A-4E89-41B8-A536-D523F5C677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de proyecto</t>
        </r>
      </text>
    </comment>
    <comment ref="D17" authorId="0" shapeId="0" xr:uid="{D1FC53C4-B6CC-417C-8908-5786920DE2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presento comprobantes de su hijo</t>
        </r>
      </text>
    </comment>
    <comment ref="S17" authorId="0" shapeId="0" xr:uid="{384CBB68-A326-48EF-8E94-AA616E7B90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visit aal pani y al centro medico</t>
        </r>
      </text>
    </comment>
    <comment ref="Z17" authorId="0" shapeId="0" xr:uid="{8B0513AC-5B36-47C9-99C3-05757B94FF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llegada tardia por cita en escuela ,presento comprobante</t>
        </r>
      </text>
    </comment>
    <comment ref="AG17" authorId="0" shapeId="0" xr:uid="{5A206C45-5CD3-4EE1-94E2-E9FE45D40F9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 se presnto a laborar cita de hojo en hospital</t>
        </r>
      </text>
    </comment>
    <comment ref="W19" authorId="0" shapeId="0" xr:uid="{7B740A79-4131-4915-BA73-C796A5EE32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LLEGADA TARDIA POR CITA </t>
        </r>
      </text>
    </comment>
    <comment ref="W24" authorId="0" shapeId="0" xr:uid="{E4777ADA-C889-4DCC-9806-C7D01C19FB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cambio abck up</t>
        </r>
      </text>
    </comment>
    <comment ref="J29" authorId="0" shapeId="0" xr:uid="{44F97456-02AE-4D30-A53F-CB09E9B239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renununcia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6" authorId="0" shapeId="0" xr:uid="{45074C66-EE2A-4366-B0F7-805EEFFF3A0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INJUSTIFICADA</t>
        </r>
      </text>
    </comment>
    <comment ref="J9" authorId="0" shapeId="0" xr:uid="{F53BB5B8-3628-4F8D-A1B1-C0C321B3F5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por efermedad hermana</t>
        </r>
      </text>
    </comment>
    <comment ref="AD13" authorId="0" shapeId="0" xr:uid="{5372EC5E-DA10-4E51-88DE-094E806BA0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AUSENCIA POR CITAS MEDICAS</t>
        </r>
      </text>
    </comment>
    <comment ref="AG13" authorId="0" shapeId="0" xr:uid="{35BFD113-70D6-4200-A822-9953CC2F382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FERIADO</t>
        </r>
      </text>
    </comment>
    <comment ref="AG14" authorId="0" shapeId="0" xr:uid="{0A0DA80A-56A6-4939-8A59-75C9B7DB80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FERIADO</t>
        </r>
      </text>
    </comment>
    <comment ref="C15" authorId="0" shapeId="0" xr:uid="{3705EDF6-2556-45FA-A029-47770FD477D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PERMISO SIN GOCE SALARIAL</t>
        </r>
      </text>
    </comment>
    <comment ref="AG19" authorId="0" shapeId="0" xr:uid="{CBF7229F-7184-4714-9A1F-BAE6F253E6D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FERIADO</t>
        </r>
      </text>
    </comment>
    <comment ref="W24" authorId="0" shapeId="0" xr:uid="{77BAED6A-5363-42E5-8CAE-71F43B8B7C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PERMISO SIN GOCE SALARIAL POR EXAMEN UNIVERSIDAD</t>
        </r>
      </text>
    </comment>
    <comment ref="AG29" authorId="0" shapeId="0" xr:uid="{2E538F7A-6233-4F1B-8D1A-E31A062BFF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FERIADO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5" authorId="0" shapeId="0" xr:uid="{DFA13E49-468C-48E9-A324-E976592F9A0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sw le enfermo la hija</t>
        </r>
      </text>
    </comment>
    <comment ref="O5" authorId="0" shapeId="0" xr:uid="{30DBBA62-DDA9-42D7-8105-10EF661DCD7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>PREAENCOMPROBANTE</t>
        </r>
      </text>
    </comment>
    <comment ref="F7" authorId="0" shapeId="0" xr:uid="{E021BE51-E443-4A59-80AE-0290278065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K14" authorId="0" shapeId="0" xr:uid="{6809C6B9-88FB-496E-9F15-37473EFEB85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RENUNCIA</t>
        </r>
      </text>
    </comment>
    <comment ref="Q24" authorId="0" shapeId="0" xr:uid="{0277B70C-9664-4FF6-902F-018DC18AA08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FERIADO NO TRABAJADO</t>
        </r>
      </text>
    </comment>
    <comment ref="R26" authorId="0" shapeId="0" xr:uid="{E0F4E016-29C4-47FD-9F4E-A0CB8E76B0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AUCENCAI INJUSTIFICADA</t>
        </r>
      </text>
    </comment>
  </commentList>
</comments>
</file>

<file path=xl/sharedStrings.xml><?xml version="1.0" encoding="utf-8"?>
<sst xmlns="http://schemas.openxmlformats.org/spreadsheetml/2006/main" count="871" uniqueCount="253">
  <si>
    <t>PUNTO</t>
  </si>
  <si>
    <t>NOMBRE</t>
  </si>
  <si>
    <t>Asistencia 1</t>
  </si>
  <si>
    <t>L</t>
  </si>
  <si>
    <t>K</t>
  </si>
  <si>
    <t>M</t>
  </si>
  <si>
    <t>J</t>
  </si>
  <si>
    <t>V</t>
  </si>
  <si>
    <t>S</t>
  </si>
  <si>
    <t>D</t>
  </si>
  <si>
    <t>MXM B-SJ ALAJUELA</t>
  </si>
  <si>
    <t>ANA ISABEL MURILLO RIOS</t>
  </si>
  <si>
    <t>MXM SAN GERARDO</t>
  </si>
  <si>
    <t xml:space="preserve">MXM GUACHIPELIN </t>
  </si>
  <si>
    <t>YOLANDA RESCHELTS SILES</t>
  </si>
  <si>
    <t>MXM SANTA ANA</t>
  </si>
  <si>
    <t>MXM CARAGO METROCENTRO</t>
  </si>
  <si>
    <t>HANNIA PATRICIA SOLANO VARGAS</t>
  </si>
  <si>
    <t>MXM GRECIA</t>
  </si>
  <si>
    <t>RUTH NATALIA GUERRERO VARGAS</t>
  </si>
  <si>
    <t>MXM SAN ISIDRO</t>
  </si>
  <si>
    <t>MXM LIBERIA</t>
  </si>
  <si>
    <t>KATTY DANIELA IBARRA CHAVEZ</t>
  </si>
  <si>
    <t>MXM CIUDAD COLON</t>
  </si>
  <si>
    <t>MXM SABANILLA</t>
  </si>
  <si>
    <t>KATTIA RIVERA WATTSON</t>
  </si>
  <si>
    <t>MXM SAN RAMON</t>
  </si>
  <si>
    <t>MARIA NAZARET CAMPOS VARGAS</t>
  </si>
  <si>
    <t>MXM JACO</t>
  </si>
  <si>
    <t>LESLIE SHARLYN CORDOBA IRIAS</t>
  </si>
  <si>
    <t xml:space="preserve">URANIA MARCELA MARENCO SANCHEZ </t>
  </si>
  <si>
    <t>MARIA JESUS MONCADA MENDIETA</t>
  </si>
  <si>
    <t>MXM CORONADO</t>
  </si>
  <si>
    <t>SILVIA MARIA MYRRIE JIMENEZ</t>
  </si>
  <si>
    <t>BACK UP HEREDIA</t>
  </si>
  <si>
    <t>MXM SANTO DOMINGO</t>
  </si>
  <si>
    <t>YANORY DEL CARMEN GONZALEZ RODRIGUEZ</t>
  </si>
  <si>
    <t>MXM TEJAR</t>
  </si>
  <si>
    <t>YORLYN MARIA CAMPOS REDONDO</t>
  </si>
  <si>
    <t>MXM GUAYABOS</t>
  </si>
  <si>
    <t>AURA LILA MARTINEZ LAZO</t>
  </si>
  <si>
    <t>CAROLINA DE LA CRUZ BALTODANO</t>
  </si>
  <si>
    <t>BACK UP SAN JOSE OESTE</t>
  </si>
  <si>
    <t>JACKELINE ARIAS CHINCHILLA</t>
  </si>
  <si>
    <t>KATTIA VANESSA SILVA HERNANDEZ</t>
  </si>
  <si>
    <t xml:space="preserve">NEREYDA  CRUZ </t>
  </si>
  <si>
    <t>BACK UP SAN JOSE OESTE ESCAZU</t>
  </si>
  <si>
    <t>MARTA LLAMILETH LOAISIGA RUIZ</t>
  </si>
  <si>
    <t>DARLING JUNIETH BACA RAMOS</t>
  </si>
  <si>
    <t>MXM SAN JOAQUIN/CUBRECAROLINA</t>
  </si>
  <si>
    <t>GLADYS ARIANA PORRAS BARRANTES</t>
  </si>
  <si>
    <t>MXM SAN PABLO NORTE/CUBRE  AURA</t>
  </si>
  <si>
    <t>ANGUIE PAMELA SANABRIA GUZMAN</t>
  </si>
  <si>
    <t>MXM HEREDIA SUR /CUBRIO CAROLINA</t>
  </si>
  <si>
    <t>MXM  BELEN/ CUBRE AURA/8NADELANTE CUBRE ANGIE</t>
  </si>
  <si>
    <t>Asistencia 2</t>
  </si>
  <si>
    <t>Asistencia 3</t>
  </si>
  <si>
    <t>Asistencia 4</t>
  </si>
  <si>
    <t>Asistencia 5</t>
  </si>
  <si>
    <t>BACK UP SAN JPSE OESTE</t>
  </si>
  <si>
    <t>SCARLETT BEATRIZ MORA RUIZ</t>
  </si>
  <si>
    <t>C</t>
  </si>
  <si>
    <t>MXM BELEN / NUEVO INGRESO 16/1/26../ despido 19/1/26</t>
  </si>
  <si>
    <t>,mxm belen</t>
  </si>
  <si>
    <t>JISELA DAYANA MIRANDA RODRIGUEZ/NUEO INGRESO 21/1/26</t>
  </si>
  <si>
    <t>MXM SAN JOAQUIN</t>
  </si>
  <si>
    <t>YIRLEY ARAYA OROZCO</t>
  </si>
  <si>
    <t>KAROLINA FONCESA UGALDE</t>
  </si>
  <si>
    <t>JISELA DAYANA MIRANDA RODRIGUEZ/NUEVO INGRESO 21/1/26</t>
  </si>
  <si>
    <t>MXM BELEN</t>
  </si>
  <si>
    <t>DARLING JUNIETH BACA RAMOS /CUBRE MARIA JESUS MONCADA</t>
  </si>
  <si>
    <t>MXM SAN ISIDRO/NUEO INGRESO 2/2/26/ RENUNCIA  5/2/26</t>
  </si>
  <si>
    <t>MXM SAN PABLO NORTE RENUNCIA 6/2/26</t>
  </si>
  <si>
    <t>MXM SAN PABLO NORTE /CUBRE CAROLINA</t>
  </si>
  <si>
    <t>/MXM GRECIA / 2/2/26 DESPIDO</t>
  </si>
  <si>
    <t>NOILYN ODET MORA MONTERO/ NUEVO INGRESO 3/2/26 /7/2/26 RENUNCIA</t>
  </si>
  <si>
    <t>MXM SANTO DOMINGO /13/2/26 RENUNCIA</t>
  </si>
  <si>
    <t>MXM HEREDIA SUR/ NUEVO INGRSO 6/2/26 renuncia 10/2/26</t>
  </si>
  <si>
    <t>Ausencia 2</t>
  </si>
  <si>
    <t>incapacidad 3</t>
  </si>
  <si>
    <t>vacaciones 5</t>
  </si>
  <si>
    <t>dia libre 4</t>
  </si>
  <si>
    <t>MXM GRECIA /NUEVO INGRESO 12/2/26</t>
  </si>
  <si>
    <t>SHIRLEY UMAMA</t>
  </si>
  <si>
    <t>NEREYDA  CRUZ /cubre Carolina</t>
  </si>
  <si>
    <t>MXM JACO/renuncia 15/2/26</t>
  </si>
  <si>
    <t>MXM  BELEN/ CUBRE AURA/8/2/26 CUBRE Y ANGIEHASTA EL 10/2/26</t>
  </si>
  <si>
    <t>MXM SAN ISIDRO/NUEVO INGRESO 16/2/25</t>
  </si>
  <si>
    <t>MARTA LLAMILETH LOAISIGA RUIZ/ despido 20/2/26</t>
  </si>
  <si>
    <t>FABIOLA ARIAS HERNADEZ/NEVO INGRESO11/2/26</t>
  </si>
  <si>
    <t>CUBRE AURA</t>
  </si>
  <si>
    <t>CUBRE CAROLINA</t>
  </si>
  <si>
    <t>DUNIA JUNIETH DIAZ MARTINEZ/CUBRIO MARIA JESUS MONCADA INCAPAC</t>
  </si>
  <si>
    <t>VIRGINIA VALVERDE ARIAS/NUEVO INGRESO 23/2/25</t>
  </si>
  <si>
    <t>MXM HEREDIA SUR /AURA DESP DEL 8 DE FEBRE</t>
  </si>
  <si>
    <t>CAPACITACION</t>
  </si>
  <si>
    <t xml:space="preserve">MXM SANTO DOMINGO </t>
  </si>
  <si>
    <t>YORLYN MARIA CAMPOS REDONDO /RENUNCIA</t>
  </si>
  <si>
    <t>YANORY DEL CARMEN GONZALEZ RODRIGUEZ/RENUNCIA 13 DE FEBRERO</t>
  </si>
  <si>
    <t>JISELA DAYANA MIRANDA RODRIGUEZ</t>
  </si>
  <si>
    <t>FABIOLA ARIAS HERNADEZ</t>
  </si>
  <si>
    <t>CUBRE CAROLINAHASTA EL  7/3  26 despCUBRE  AURA</t>
  </si>
  <si>
    <t>VIRGINIA VALVERDE ARIAS/ INC CUBRE CAROLINA</t>
  </si>
  <si>
    <t>JENNY VANNESA ROJAS GAMBOA</t>
  </si>
  <si>
    <t>GLADYS ARIANA PORRAS BARRANTES/INC CUBRE AURA/CUBRIO MJ MONCADA /13Y 14</t>
  </si>
  <si>
    <t>DAHIANA AVILEZ ZUNIGA</t>
  </si>
  <si>
    <t>MXM GRECIA/INGRESO 16/3/26</t>
  </si>
  <si>
    <t>B ACK UP SAN JOSE OESTE</t>
  </si>
  <si>
    <t>MXM SAN GERERDO/ NUEVO INGRESO /17/3/26/ ENTRENAMIENTO</t>
  </si>
  <si>
    <t>SHIRLEY VANESSA MORALES ULATE</t>
  </si>
  <si>
    <t>MXM SAN ISIDRO/ CUBRE CAROLINA Y MJ MONCADA</t>
  </si>
  <si>
    <t>MXM HEREDIA SUR /NUEVO UNGRESO 17/3/26</t>
  </si>
  <si>
    <t>SHARISEE MOLINA BALTODANO</t>
  </si>
  <si>
    <t>MXM HEREDIA SUR/NUEVO INGRESO 23/2/25/ DESPIDO 18/3/26</t>
  </si>
  <si>
    <t>MXM JACO/  NUEVO INGRESP 9/3/26</t>
  </si>
  <si>
    <t xml:space="preserve">KAROLAY STHEFANY  MORA VALVERDE </t>
  </si>
  <si>
    <t>MXM CIUDAD COLON/ NUEVO INGRESO 25/3/26</t>
  </si>
  <si>
    <t xml:space="preserve">MXM SAN PABLO NORTE </t>
  </si>
  <si>
    <t>MXM SAN PABLO NORTE / NUEVO INGRESO 26/3/26</t>
  </si>
  <si>
    <t>KARLA SANCHEZ MOLINA</t>
  </si>
  <si>
    <t>MXM LIBERIA/ tenuncia 25/3/26</t>
  </si>
  <si>
    <t>MXM SAN PABLO NORTE</t>
  </si>
  <si>
    <t xml:space="preserve">MXM SAN GERARDO/CUBRE ANGIE </t>
  </si>
  <si>
    <t>MXM LIBERIA/NUEVO INGRESO 1/4/26</t>
  </si>
  <si>
    <t>ANDREINA SANDOVAL DELGADO</t>
  </si>
  <si>
    <t>MXM GRECIA/INGRESO 1/4/26</t>
  </si>
  <si>
    <t>MARZO</t>
  </si>
  <si>
    <t xml:space="preserve"> </t>
  </si>
  <si>
    <t>MXM SAN PABLO NORTE/ nuevo  26 marzo 2026</t>
  </si>
  <si>
    <t>NOEMY RIVERA PEREZ</t>
  </si>
  <si>
    <t>KAROLAY STHEFANY MORA VALVERDE/renuncia 6/4/ 26</t>
  </si>
  <si>
    <t>BACKUP SAN JOSE  ESTE</t>
  </si>
  <si>
    <t>MXM CIUDAD COLON/ NUEVONINGRESO 9/4/26</t>
  </si>
  <si>
    <t>YORLENY PORRAS ANCHIA</t>
  </si>
  <si>
    <t>MXM CIUDAD COLONCUBRE MJ MONCADA</t>
  </si>
  <si>
    <t>MXM SAN ISIDRO/CUBRE AURA y CAROLINA</t>
  </si>
  <si>
    <t>KARLA PRISCILLA CALDERON RUBI/NUEO INGRESO 9/4/26</t>
  </si>
  <si>
    <t>SHARISEE MOLINA BALTODANO/despido 17/4</t>
  </si>
  <si>
    <t>KYARA CATALINA SERRANO ZELEDON/ NUEVO INGRESO 16/3/26</t>
  </si>
  <si>
    <t>ANGUIE PAMELA SANABRIA GUZMANrenncia 21/4</t>
  </si>
  <si>
    <t>MARITZA DEL CARMEN ZAMORA FLORES</t>
  </si>
  <si>
    <t>MXM SAN JOAQUIN/NUEVO INGRESO 22/4 CAPACITACION</t>
  </si>
  <si>
    <t>MXM GUACHIPELIN / cubre Mjmincasa del 23 1l 226</t>
  </si>
  <si>
    <t>MXM GUACHIPELIN</t>
  </si>
  <si>
    <t>MXM HEREDIA SUR</t>
  </si>
  <si>
    <t>BACK UPO SAN JOSE OESTE</t>
  </si>
  <si>
    <t>URANIA MARCELA MARENCO SANCHEZ</t>
  </si>
  <si>
    <t>MXM SAN ISIDRO/NUEVO INGRESO/27/4/26</t>
  </si>
  <si>
    <t>MXM SAN JOAQUIN/ CUBRE DAYANA</t>
  </si>
  <si>
    <t>MXM BELEN/ CUBRE PRISILLA</t>
  </si>
  <si>
    <t>MXM SANTO DOMINGO / CUBRE AURA</t>
  </si>
  <si>
    <t>FABIOLA ARIAS HERNADEZ/ CUBRE PRISCILLA</t>
  </si>
  <si>
    <t xml:space="preserve">Asistencia </t>
  </si>
  <si>
    <t>libre 4</t>
  </si>
  <si>
    <t>Vacaciones 5</t>
  </si>
  <si>
    <t>Libre 4</t>
  </si>
  <si>
    <t>Ausencia2</t>
  </si>
  <si>
    <t>MXM CORONADO/ CUBRE MJ MONCADA</t>
  </si>
  <si>
    <t>MXM B-SJ ALAJUELA/CUBRE CAROLINA</t>
  </si>
  <si>
    <t>MXM HEREDIA  SUR</t>
  </si>
  <si>
    <t>MXM PLAZA AMERICA</t>
  </si>
  <si>
    <t>BACK UP SAN NOSE OESTE</t>
  </si>
  <si>
    <t>ANA ISABEL MURILLO RIOS/CUBRE  CAROLINA</t>
  </si>
  <si>
    <t>MARITZA DEL CARMEN ZAMORA FLORES/ CUBRE DAYANA</t>
  </si>
  <si>
    <t>GLADYS ARIANA PORRAS BARRANTES/CUBRE MARCELA</t>
  </si>
  <si>
    <t>ELIZABETH RAMIREZ ROSTRAN</t>
  </si>
  <si>
    <t>MARILYN JIMENEZ ARIAS</t>
  </si>
  <si>
    <t>MXM SAN ISIDRO/CUBRE CAROLINA</t>
  </si>
  <si>
    <t>MXM  GRECIA /NUEVO INGRESO 18/5/26</t>
  </si>
  <si>
    <t>LUISA ARCIA MARTINEZ SAN JOSE OESTE 18/5/26</t>
  </si>
  <si>
    <t xml:space="preserve">LUISA ARCIA MARTINEZ </t>
  </si>
  <si>
    <t>MXM SA ISIDRO /NUEVO INGRESO 12/5/26   renuncia 21/5/26</t>
  </si>
  <si>
    <t>MXM SAN GERERDO</t>
  </si>
  <si>
    <t>LUISA ARCIA MARTINEZ 18/5/26 NUEVO INGRESO</t>
  </si>
  <si>
    <t>BACK UP SAN JOSE OESTE 18/5/26</t>
  </si>
  <si>
    <t>BACKUP HEREDIA</t>
  </si>
  <si>
    <t>BACK UP HREDIA</t>
  </si>
  <si>
    <t>BACK UP ZONA  OCCIDENTAL/N INGR 27/5/26</t>
  </si>
  <si>
    <t>MXM SAN ISISDRO / NUEVO INGRESO 1/6/26</t>
  </si>
  <si>
    <t>DANIELA MELISSA CAMPOS SOLANO</t>
  </si>
  <si>
    <t xml:space="preserve">KATTIA RIVERA WATTSON/ CUBRE MARCELA MARENCO </t>
  </si>
  <si>
    <t>BACK UP ZONA OCCIDENTAL</t>
  </si>
  <si>
    <t>BACKUP SAN JOSE OESTE</t>
  </si>
  <si>
    <t>FABIANA ARIAS HERNADEZ NUEVO INGRESO  /11/6/26</t>
  </si>
  <si>
    <t>MXM NOVACENTRO</t>
  </si>
  <si>
    <t>MARITZA DEL CARMEN ZAMORA FLORES/ CUBRE CAROLINA APARTIR DEL 16</t>
  </si>
  <si>
    <t>MARIA FERNANDA CAMPOS ULLOA</t>
  </si>
  <si>
    <t>MXM CARTAGO METROCENTRO</t>
  </si>
  <si>
    <t>KARLA MARIA VILLARREAL CANTILLO NUEVO INGRESO/10/6 26</t>
  </si>
  <si>
    <t>CAROLINA DE LA CRUZ BALTODANO/ CUBRE BELEN DEL 4 AL 15 /CUBRE SANTO DOMINFO DEL 15 EN ADELANTW</t>
  </si>
  <si>
    <t>JISELA DAYANA MIRANDA RODRIGUEZ/CUBRE SANTO DOMING/1 AL 15  CUBRE SAN JOAQUIN</t>
  </si>
  <si>
    <t>MXM SAN JOAQUIN/ CUBRIO DAYANA</t>
  </si>
  <si>
    <t>MXM BELEN / CUBRIO CAROLINA</t>
  </si>
  <si>
    <t>MXM  GRECIA</t>
  </si>
  <si>
    <t>MXM  CIUDAD COLON</t>
  </si>
  <si>
    <t>BACKUP SAN HEREDIA</t>
  </si>
  <si>
    <t>MXM CARTAGO METROCENTRO/ cubre Marcela</t>
  </si>
  <si>
    <t>MXM SAN PABLO NORTE/cubre Dayana</t>
  </si>
  <si>
    <t>JIMENA EDUVIJES ACOSTA IRIAS</t>
  </si>
  <si>
    <t>MXM JACO/NUEVO INGRESO 4/7/26</t>
  </si>
  <si>
    <t>HANNIA PATRICIA SOLANO VARGAS/ cubre Marcela</t>
  </si>
  <si>
    <t>JACKELINE ARIAS CHINCHILLA/cubre Marcela</t>
  </si>
  <si>
    <t>BACKUP SAN HEREDIA/nuevo ingreso 17/7/26</t>
  </si>
  <si>
    <t>HEIDY CONTRERAS DELGADO</t>
  </si>
  <si>
    <t>MARIA JOSE BARBENA NOGUERA</t>
  </si>
  <si>
    <t>MXM SANTO DOMINGO 18/6/26</t>
  </si>
  <si>
    <t>MXM CARAGO METROCENTRO/APACIDAD CUBRE MARCELA</t>
  </si>
  <si>
    <t>PUNTO DE VENTA</t>
  </si>
  <si>
    <t>MXM HERRDIA SUR</t>
  </si>
  <si>
    <t>MXMSAN PABLO NORTE</t>
  </si>
  <si>
    <t>MXM  NOVACENTRO</t>
  </si>
  <si>
    <t>MXM CARTAGO</t>
  </si>
  <si>
    <t>MXM  TEJAR</t>
  </si>
  <si>
    <t>KYARA CATALINA SERRANO ZELEDON</t>
  </si>
  <si>
    <t>YOLANDA RETCHELTS  SILES</t>
  </si>
  <si>
    <t>SILVIA MIRRIE JIMENEZ</t>
  </si>
  <si>
    <t>JIMENA EDUVIJES ACOSTA IRIAS/3/7/27</t>
  </si>
  <si>
    <t>MARILYN JIMENEZ ARIAS/cubrio Fabiana</t>
  </si>
  <si>
    <t xml:space="preserve">KYARA CATALINA SERRANO ZELEDON </t>
  </si>
  <si>
    <t>FABIANA ROJAS JIMENEZ</t>
  </si>
  <si>
    <t>MXM BELENh</t>
  </si>
  <si>
    <t>MARA JESUS MONCADA MENDIETA</t>
  </si>
  <si>
    <t>LUISA ARCIA MARTINEZ/INGRESO 3/8/26</t>
  </si>
  <si>
    <t>MXM SAN JOAQUIN / CUBRE CAROLINA BALTODANO URBINA</t>
  </si>
  <si>
    <t xml:space="preserve">MXM GUAYABOS </t>
  </si>
  <si>
    <t>YORLENY PORRAS ANCHIA/ CUBRIO FABIOLA ARIAS</t>
  </si>
  <si>
    <t>OWEN MONTIEL RODRIGUEZ  20/8
OWEN MONTIE RODRIGUEZ  20/8</t>
  </si>
  <si>
    <t>SEMANA DEL 23 AL 31 DE AGOSTO</t>
  </si>
  <si>
    <t>ANDREINA SANDI\OVAL DELGADO 26</t>
  </si>
  <si>
    <t>FABIANA ROJAS JIMENEZ 26/8</t>
  </si>
  <si>
    <t>SHORLEY MORALES ULATE 28,29,30</t>
  </si>
  <si>
    <t xml:space="preserve">AUSENCIAS </t>
  </si>
  <si>
    <t>FABIOLA ARIAS 28/AUSENCIA POR CITAS MEDICAS</t>
  </si>
  <si>
    <t xml:space="preserve">SHIRLEY MORALES </t>
  </si>
  <si>
    <t xml:space="preserve">FABIOLA ARIAS </t>
  </si>
  <si>
    <t>YORLENY PORRAS</t>
  </si>
  <si>
    <t>MARCELA MARENCO</t>
  </si>
  <si>
    <t>AUSECIAS FERIADO 31 DE AGOSTO</t>
  </si>
  <si>
    <t>MARYLIN JIMENEZ 30/8</t>
  </si>
  <si>
    <t>INCAPACIDADES</t>
  </si>
  <si>
    <t>VACACIONES</t>
  </si>
  <si>
    <t>MARIA NAZARET CAMPOS VARGAS 30/8</t>
  </si>
  <si>
    <t>MARILYN JIMENEZ ARIAS/CUBRE FAIANA ROJAS</t>
  </si>
  <si>
    <t>MXM HERDIA SUR</t>
  </si>
  <si>
    <t xml:space="preserve">KARLA MARIA VILLARREAL CANTILLO </t>
  </si>
  <si>
    <t>MXM GUAYABOS /CUBRE MARCELA MARENCO</t>
  </si>
  <si>
    <t>OWEN MONTIEL RODRIGUEZ  20/8 RENUNCIA 4/9
OWEN MONTIE RODRIGUEZ  20/8</t>
  </si>
  <si>
    <t>v</t>
  </si>
  <si>
    <t>MXM SANTO DOMINDO</t>
  </si>
  <si>
    <t>SHIRLEY VANESSA MORALES ULATE/ DESPIDO 2/9 CUBRE MARCELA MARENCO</t>
  </si>
  <si>
    <t>MXM SANTA ANA/ cubre Jackeline Arias Chinchilla</t>
  </si>
  <si>
    <t>MARIA FERNADA CAMPOS ULLOA 11/9 NUEVO INGRESO</t>
  </si>
  <si>
    <t>EVANY MICHELLE FONCECA CAMBRONERO/INDRESO 16/9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</si>
</sst>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4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1" fontId="2" fillId="11" borderId="2" xfId="0" applyNumberFormat="1" applyFont="1" applyFill="1" applyBorder="1" applyAlignment="1">
      <alignment horizontal="center"/>
    </xf>
    <xf numFmtId="1" fontId="2" fillId="11" borderId="4" xfId="0" applyNumberFormat="1" applyFont="1" applyFill="1" applyBorder="1" applyAlignment="1">
      <alignment horizontal="center"/>
    </xf>
    <xf numFmtId="1" fontId="0" fillId="12" borderId="2" xfId="0" applyNumberFormat="1" applyFill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6" borderId="2" xfId="0" applyNumberFormat="1" applyFill="1" applyBorder="1" applyAlignment="1">
      <alignment horizontal="center"/>
    </xf>
    <xf numFmtId="1" fontId="0" fillId="7" borderId="2" xfId="0" applyNumberFormat="1" applyFill="1" applyBorder="1" applyAlignment="1">
      <alignment horizontal="center"/>
    </xf>
    <xf numFmtId="1" fontId="0" fillId="8" borderId="2" xfId="0" applyNumberFormat="1" applyFill="1" applyBorder="1" applyAlignment="1">
      <alignment horizontal="center"/>
    </xf>
    <xf numFmtId="0" fontId="6" fillId="10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45"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  <dxf>
      <font>
        <color theme="4" tint="0.59996337778862885"/>
      </font>
      <fill>
        <patternFill>
          <bgColor theme="4" tint="0.59996337778862885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5" tint="0.59996337778862885"/>
      </font>
      <fill>
        <patternFill>
          <bgColor theme="5" tint="0.59996337778862885"/>
        </patternFill>
      </fill>
    </dxf>
    <dxf>
      <font>
        <color theme="9" tint="0.79998168889431442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389192</xdr:colOff>
      <xdr:row>33</xdr:row>
      <xdr:rowOff>51208</xdr:rowOff>
    </xdr:from>
    <xdr:to>
      <xdr:col>1</xdr:col>
      <xdr:colOff>2632178</xdr:colOff>
      <xdr:row>47</xdr:row>
      <xdr:rowOff>61451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565C8FE-A90B-E04D-3B47-02E76E2E4A32}"/>
            </a:ext>
          </a:extLst>
        </xdr:cNvPr>
        <xdr:cNvSpPr txBox="1"/>
      </xdr:nvSpPr>
      <xdr:spPr>
        <a:xfrm rot="10800000" flipV="1">
          <a:off x="389192" y="6093950"/>
          <a:ext cx="5192663" cy="2591211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1100"/>
            <a:t>AURA LILA MARTINEZ LAZO  3</a:t>
          </a:r>
          <a:r>
            <a:rPr lang="es-CR" sz="1100" baseline="0"/>
            <a:t> DIASDE LICENCDA POR MUERTE HERMANO 28,29,30</a:t>
          </a:r>
          <a:r>
            <a:rPr lang="es-C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CR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C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MARITZA DEL CARMEN ZAMORA FLORES</a:t>
          </a:r>
          <a:r>
            <a:rPr lang="es-CR">
              <a:effectLst/>
            </a:rPr>
            <a:t>  AUSENCIA EL 31/7</a:t>
          </a:r>
          <a:r>
            <a:rPr lang="es-CR" baseline="0">
              <a:effectLst/>
            </a:rPr>
            <a:t> PRESENTO COMPROBANTE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baseline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100" baseline="0"/>
            <a:t>MARILYN JUMENEZ ARIAS INCAPCIDAD 27/7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100" baseline="0"/>
            <a:t>MARIA NAZARETH CAMPOS  VARGAS INCAPACIDAD 29/7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R" sz="1100" baseline="0"/>
            <a:t>FABIOLA ARIAS HERNADCEZ INCAPACIDAD 29/7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R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358914</xdr:colOff>
      <xdr:row>29</xdr:row>
      <xdr:rowOff>138044</xdr:rowOff>
    </xdr:from>
    <xdr:ext cx="3607536" cy="5751812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9C20795-069C-0317-F622-308B8E7F309A}"/>
            </a:ext>
          </a:extLst>
        </xdr:cNvPr>
        <xdr:cNvSpPr txBox="1"/>
      </xdr:nvSpPr>
      <xdr:spPr>
        <a:xfrm>
          <a:off x="358914" y="5475725"/>
          <a:ext cx="3607536" cy="5751812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R" sz="110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SEMANA DEL 2 AL 9</a:t>
          </a:r>
        </a:p>
        <a:p>
          <a:endParaRPr lang="es-CR" sz="1100" baseline="0">
            <a:solidFill>
              <a:schemeClr val="tx2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PERMISO SIN GOCE SALARIAL</a:t>
          </a:r>
          <a:r>
            <a:rPr lang="es-C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s-CR" sz="1100"/>
            <a:t>KARLA VILLARREAL 1/8/26</a:t>
          </a:r>
        </a:p>
        <a:p>
          <a:endParaRPr lang="es-CR" sz="1100" baseline="0">
            <a:solidFill>
              <a:schemeClr val="tx1"/>
            </a:solidFill>
          </a:endParaRPr>
        </a:p>
        <a:p>
          <a:r>
            <a:rPr lang="es-CR" sz="1100" baseline="0">
              <a:solidFill>
                <a:srgbClr val="0070C0"/>
              </a:solidFill>
            </a:rPr>
            <a:t>AUSENCIAS 2 DE AGOSTO FERIADO</a:t>
          </a:r>
        </a:p>
        <a:p>
          <a:endParaRPr lang="es-CR" sz="1100" baseline="0"/>
        </a:p>
        <a:p>
          <a:r>
            <a:rPr lang="es-CR" sz="1100" baseline="0"/>
            <a:t>HANNIA SOLANO VARGAS   2 agost</a:t>
          </a:r>
        </a:p>
        <a:p>
          <a:r>
            <a:rPr lang="es-CR" sz="1100" baseline="0"/>
            <a:t>YORLYN CAMPOS REDONDO  2 agosto</a:t>
          </a:r>
        </a:p>
        <a:p>
          <a:r>
            <a:rPr lang="es-CR" sz="1100" baseline="0"/>
            <a:t>ANDREINA SANDOVAL DELGADO  2 agosto</a:t>
          </a:r>
        </a:p>
        <a:p>
          <a:r>
            <a:rPr lang="es-CR" sz="1100" baseline="0"/>
            <a:t>KYARA SERRANO ZELEDON  8 agosto</a:t>
          </a:r>
        </a:p>
        <a:p>
          <a:endParaRPr lang="es-CR" sz="1100" baseline="0"/>
        </a:p>
        <a:p>
          <a:r>
            <a:rPr lang="es-CR" sz="1100" baseline="0">
              <a:solidFill>
                <a:srgbClr val="0070C0"/>
              </a:solidFill>
            </a:rPr>
            <a:t>INCAPACIDADES</a:t>
          </a:r>
        </a:p>
        <a:p>
          <a:endParaRPr lang="es-CR" sz="1100" baseline="0"/>
        </a:p>
        <a:p>
          <a:r>
            <a:rPr lang="es-CR" sz="1100" baseline="0"/>
            <a:t>DANIELA MELISSA CAMPOS SOLANO: 2/8/26</a:t>
          </a:r>
        </a:p>
        <a:p>
          <a:r>
            <a:rPr lang="es-CR" sz="1100" baseline="0"/>
            <a:t>MARILYN JIMENEZ ARIAS : 2/8/26 y 5/8/26 ,9 y 10 </a:t>
          </a:r>
        </a:p>
        <a:p>
          <a:r>
            <a:rPr lang="es-CR" sz="1100" baseline="0"/>
            <a:t>FABIOLA ARIAS HERNANDEZ 6/8/26 </a:t>
          </a:r>
        </a:p>
        <a:p>
          <a:r>
            <a:rPr lang="es-CR" sz="1100" baseline="0"/>
            <a:t>MARCELA MARENCO SANCHEZ  7/8 agosto</a:t>
          </a:r>
        </a:p>
        <a:p>
          <a:r>
            <a:rPr lang="es-CR" sz="1100" baseline="0"/>
            <a:t>DANIELA CAMPOS SOLANO 7/8 </a:t>
          </a:r>
          <a:r>
            <a:rPr lang="es-C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agosto</a:t>
          </a:r>
          <a:endParaRPr lang="es-CR">
            <a:effectLst/>
          </a:endParaRPr>
        </a:p>
        <a:p>
          <a:endParaRPr lang="es-CR" sz="1100" baseline="0"/>
        </a:p>
        <a:p>
          <a:r>
            <a:rPr lang="es-CR" sz="1100"/>
            <a:t> </a:t>
          </a:r>
          <a:r>
            <a:rPr lang="es-CR" sz="1100">
              <a:solidFill>
                <a:srgbClr val="0070C0"/>
              </a:solidFill>
            </a:rPr>
            <a:t>NUEVO INGRESO :</a:t>
          </a:r>
          <a:r>
            <a:rPr lang="es-CR" sz="1100">
              <a:solidFill>
                <a:schemeClr val="tx1"/>
              </a:solidFill>
            </a:rPr>
            <a:t>3/8/26</a:t>
          </a:r>
          <a:r>
            <a:rPr lang="es-CR" sz="1100">
              <a:solidFill>
                <a:srgbClr val="0070C0"/>
              </a:solidFill>
            </a:rPr>
            <a:t> </a:t>
          </a:r>
          <a:r>
            <a:rPr lang="es-CR" sz="1100"/>
            <a:t>LUISA ARCIA</a:t>
          </a:r>
          <a:r>
            <a:rPr lang="es-CR" sz="1100" baseline="0"/>
            <a:t> MARTINEZ</a:t>
          </a:r>
        </a:p>
        <a:p>
          <a:endParaRPr lang="es-CR" sz="1100" baseline="0"/>
        </a:p>
        <a:p>
          <a:r>
            <a:rPr lang="es-CR" sz="1100">
              <a:solidFill>
                <a:srgbClr val="0070C0"/>
              </a:solidFill>
            </a:rPr>
            <a:t>VACACIONES</a:t>
          </a:r>
          <a:r>
            <a:rPr lang="es-CR" sz="1100"/>
            <a:t> : MARIA</a:t>
          </a:r>
          <a:r>
            <a:rPr lang="es-CR" sz="1100" baseline="0"/>
            <a:t> JESUS MONCADA MENDIETA 5/8/25</a:t>
          </a:r>
        </a:p>
        <a:p>
          <a:endParaRPr lang="es-CR" sz="1100" baseline="0"/>
        </a:p>
      </xdr:txBody>
    </xdr:sp>
    <xdr:clientData/>
  </xdr:oneCellAnchor>
  <xdr:oneCellAnchor>
    <xdr:from>
      <xdr:col>1</xdr:col>
      <xdr:colOff>1251596</xdr:colOff>
      <xdr:row>30</xdr:row>
      <xdr:rowOff>36811</xdr:rowOff>
    </xdr:from>
    <xdr:ext cx="3960696" cy="8324023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DF2127E-1B3E-13B0-34A5-1EFBA5DFEB1A}"/>
            </a:ext>
          </a:extLst>
        </xdr:cNvPr>
        <xdr:cNvSpPr txBox="1"/>
      </xdr:nvSpPr>
      <xdr:spPr>
        <a:xfrm>
          <a:off x="4201700" y="5619519"/>
          <a:ext cx="3960696" cy="832402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R" sz="110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SEM</a:t>
          </a:r>
          <a:r>
            <a:rPr lang="es-CR" sz="105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ANA</a:t>
          </a:r>
          <a:r>
            <a:rPr lang="es-CR" sz="110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 DEL 9 AL 16</a:t>
          </a:r>
        </a:p>
        <a:p>
          <a:endParaRPr lang="es-CR">
            <a:solidFill>
              <a:schemeClr val="bg2"/>
            </a:solidFill>
            <a:effectLst/>
          </a:endParaRPr>
        </a:p>
        <a:p>
          <a:r>
            <a:rPr lang="es-CR" sz="110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VA</a:t>
          </a:r>
          <a:r>
            <a:rPr lang="es-CR" sz="1100" baseline="0">
              <a:solidFill>
                <a:schemeClr val="tx2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CACIONES</a:t>
          </a:r>
          <a:endParaRPr lang="es-CR">
            <a:solidFill>
              <a:schemeClr val="tx2">
                <a:lumMod val="50000"/>
                <a:lumOff val="50000"/>
              </a:schemeClr>
            </a:solidFill>
            <a:effectLst/>
          </a:endParaRPr>
        </a:p>
        <a:p>
          <a:r>
            <a:rPr lang="es-C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FABIOLA ARIAS</a:t>
          </a:r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HERNANDEZ 12/8YORLENY </a:t>
          </a:r>
        </a:p>
        <a:p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PORRAS ANCHIA 16/815 AGOSTO </a:t>
          </a:r>
        </a:p>
        <a:p>
          <a:endParaRPr lang="es-CR" sz="1100" baseline="0">
            <a:solidFill>
              <a:schemeClr val="tx2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15 AGOSTO </a:t>
          </a:r>
        </a:p>
        <a:p>
          <a:endParaRPr lang="es-CR" sz="1100" baseline="0">
            <a:solidFill>
              <a:schemeClr val="tx2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LIBRE TODAS</a:t>
          </a:r>
        </a:p>
        <a:p>
          <a:endParaRPr lang="es-C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SEMANA DEL 16 AL 23</a:t>
          </a:r>
        </a:p>
        <a:p>
          <a:endParaRPr lang="es-CR" sz="1100" baseline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R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VACACIONES</a:t>
          </a:r>
        </a:p>
        <a:p>
          <a:endParaRPr lang="es-CR" sz="1100" baseline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YORLENY PORRAS ANCHIA 16/8</a:t>
          </a:r>
        </a:p>
        <a:p>
          <a:r>
            <a:rPr lang="es-C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MARIA  NAZARET CAMPOS VARGAS 30/8</a:t>
          </a:r>
        </a:p>
        <a:p>
          <a:endParaRPr lang="es-CR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s-C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NUEVO INGRESO</a:t>
          </a:r>
        </a:p>
        <a:p>
          <a:endParaRPr lang="es-CR" sz="1100" baseline="0">
            <a:solidFill>
              <a:schemeClr val="tx2">
                <a:lumMod val="90000"/>
                <a:lumOff val="10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OWEN MONTIEL RODRIGUEZ 20/8</a:t>
          </a:r>
        </a:p>
        <a:p>
          <a:endParaRPr lang="es-CR" sz="1100" baseline="0">
            <a:solidFill>
              <a:schemeClr val="tx2">
                <a:lumMod val="75000"/>
                <a:lumOff val="25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INCAPACIDADES</a:t>
          </a:r>
        </a:p>
        <a:p>
          <a:endParaRPr lang="es-CR">
            <a:solidFill>
              <a:sysClr val="windowText" lastClr="000000"/>
            </a:solidFill>
            <a:effectLst/>
          </a:endParaRPr>
        </a:p>
        <a:p>
          <a:r>
            <a:rPr lang="es-CR">
              <a:solidFill>
                <a:sysClr val="windowText" lastClr="000000"/>
              </a:solidFill>
              <a:effectLst/>
            </a:rPr>
            <a:t>MAILYN</a:t>
          </a:r>
          <a:r>
            <a:rPr lang="es-CR" baseline="0">
              <a:solidFill>
                <a:sysClr val="windowText" lastClr="000000"/>
              </a:solidFill>
              <a:effectLst/>
            </a:rPr>
            <a:t> </a:t>
          </a:r>
          <a:r>
            <a:rPr lang="es-CR">
              <a:solidFill>
                <a:sysClr val="windowText" lastClr="000000"/>
              </a:solidFill>
              <a:effectLst/>
            </a:rPr>
            <a:t>JIEMENEZ ARIAS/18/</a:t>
          </a:r>
          <a:r>
            <a:rPr lang="es-CR" baseline="0">
              <a:solidFill>
                <a:sysClr val="windowText" lastClr="000000"/>
              </a:solidFill>
              <a:effectLst/>
            </a:rPr>
            <a:t>, </a:t>
          </a:r>
          <a:r>
            <a:rPr lang="es-CR">
              <a:solidFill>
                <a:sysClr val="windowText" lastClr="000000"/>
              </a:solidFill>
              <a:effectLst/>
            </a:rPr>
            <a:t> 22</a:t>
          </a:r>
          <a:r>
            <a:rPr lang="es-CR" baseline="0">
              <a:solidFill>
                <a:sysClr val="windowText" lastClr="000000"/>
              </a:solidFill>
              <a:effectLst/>
            </a:rPr>
            <a:t> /23</a:t>
          </a:r>
          <a:endParaRPr lang="es-CR">
            <a:solidFill>
              <a:sysClr val="windowText" lastClr="000000"/>
            </a:solidFill>
            <a:effectLst/>
          </a:endParaRPr>
        </a:p>
        <a:p>
          <a:r>
            <a:rPr lang="es-CR">
              <a:solidFill>
                <a:sysClr val="windowText" lastClr="000000"/>
              </a:solidFill>
              <a:effectLst/>
            </a:rPr>
            <a:t>SHIRLEY</a:t>
          </a:r>
          <a:r>
            <a:rPr lang="es-CR" baseline="0">
              <a:solidFill>
                <a:sysClr val="windowText" lastClr="000000"/>
              </a:solidFill>
              <a:effectLst/>
            </a:rPr>
            <a:t>  MORALES ULATE 20/8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ANDREINA  SANDOVAL DELGADO 21Y22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FABIOLA ARIAS HERNANDEZ 21/.22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MARIA NAZARET CAMPOS VARGAS 23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YORLENY PORRAS ANCHIA 23</a:t>
          </a:r>
        </a:p>
        <a:p>
          <a:endParaRPr lang="es-CR">
            <a:solidFill>
              <a:sysClr val="windowText" lastClr="000000"/>
            </a:solidFill>
            <a:effectLst/>
          </a:endParaRPr>
        </a:p>
        <a:p>
          <a:r>
            <a:rPr lang="es-CR">
              <a:solidFill>
                <a:srgbClr val="0070C0"/>
              </a:solidFill>
              <a:effectLst/>
            </a:rPr>
            <a:t>PERMISO SIN GOCE SALARIAL</a:t>
          </a:r>
          <a:endParaRPr lang="es-CR" baseline="0">
            <a:solidFill>
              <a:srgbClr val="0070C0"/>
            </a:solidFill>
            <a:effectLst/>
          </a:endParaRPr>
        </a:p>
        <a:p>
          <a:r>
            <a:rPr lang="es-CR">
              <a:solidFill>
                <a:schemeClr val="tx1"/>
              </a:solidFill>
              <a:effectLst/>
            </a:rPr>
            <a:t>JIMENA ACOSTA IRIAS 21/8</a:t>
          </a:r>
        </a:p>
        <a:p>
          <a:endParaRPr lang="es-CR">
            <a:solidFill>
              <a:srgbClr val="0070C0"/>
            </a:solidFill>
            <a:effectLst/>
          </a:endParaRPr>
        </a:p>
        <a:p>
          <a:r>
            <a:rPr lang="es-CR">
              <a:solidFill>
                <a:srgbClr val="0070C0"/>
              </a:solidFill>
              <a:effectLst/>
            </a:rPr>
            <a:t>AUSENCIA INJUSTIFICADA</a:t>
          </a:r>
        </a:p>
        <a:p>
          <a:r>
            <a:rPr lang="es-CR">
              <a:solidFill>
                <a:schemeClr val="tx1"/>
              </a:solidFill>
              <a:effectLst/>
            </a:rPr>
            <a:t>OWEN</a:t>
          </a:r>
          <a:r>
            <a:rPr lang="es-CR" baseline="0">
              <a:solidFill>
                <a:schemeClr val="tx1"/>
              </a:solidFill>
              <a:effectLst/>
            </a:rPr>
            <a:t> MONTIEL RODRIGUEZ 23/8</a:t>
          </a:r>
        </a:p>
      </xdr:txBody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93041</xdr:rowOff>
    </xdr:to>
    <xdr:sp macro="" textlink="">
      <xdr:nvSpPr>
        <xdr:cNvPr id="17412" name="AutoShape 4">
          <a:extLst>
            <a:ext uri="{FF2B5EF4-FFF2-40B4-BE49-F238E27FC236}">
              <a16:creationId xmlns:a16="http://schemas.microsoft.com/office/drawing/2014/main" id="{9E274FF8-0B57-5E53-3A6D-2FEC4FAEFC9E}"/>
            </a:ext>
          </a:extLst>
        </xdr:cNvPr>
        <xdr:cNvSpPr>
          <a:spLocks noChangeAspect="1" noChangeArrowheads="1"/>
        </xdr:cNvSpPr>
      </xdr:nvSpPr>
      <xdr:spPr bwMode="auto">
        <a:xfrm>
          <a:off x="295275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93041</xdr:rowOff>
    </xdr:to>
    <xdr:sp macro="" textlink="">
      <xdr:nvSpPr>
        <xdr:cNvPr id="17413" name="AutoShape 5">
          <a:extLst>
            <a:ext uri="{FF2B5EF4-FFF2-40B4-BE49-F238E27FC236}">
              <a16:creationId xmlns:a16="http://schemas.microsoft.com/office/drawing/2014/main" id="{43D3CADB-3EF6-9106-88F6-C3320775B96D}"/>
            </a:ext>
          </a:extLst>
        </xdr:cNvPr>
        <xdr:cNvSpPr>
          <a:spLocks noChangeAspect="1" noChangeArrowheads="1"/>
        </xdr:cNvSpPr>
      </xdr:nvSpPr>
      <xdr:spPr bwMode="auto">
        <a:xfrm>
          <a:off x="2952750" y="9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258305</xdr:colOff>
      <xdr:row>29</xdr:row>
      <xdr:rowOff>118390</xdr:rowOff>
    </xdr:from>
    <xdr:ext cx="4079067" cy="607017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B897493-E50D-C0F7-83D1-F3EAEB987CB9}"/>
            </a:ext>
          </a:extLst>
        </xdr:cNvPr>
        <xdr:cNvSpPr txBox="1"/>
      </xdr:nvSpPr>
      <xdr:spPr>
        <a:xfrm>
          <a:off x="13162797" y="5445932"/>
          <a:ext cx="4079067" cy="60701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358914</xdr:colOff>
      <xdr:row>32</xdr:row>
      <xdr:rowOff>138044</xdr:rowOff>
    </xdr:from>
    <xdr:ext cx="3607536" cy="394241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5DC82EA-40FC-4B05-8577-75FB2761ED3D}"/>
            </a:ext>
          </a:extLst>
        </xdr:cNvPr>
        <xdr:cNvSpPr txBox="1"/>
      </xdr:nvSpPr>
      <xdr:spPr>
        <a:xfrm>
          <a:off x="358914" y="5617859"/>
          <a:ext cx="3607536" cy="3942419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R" sz="1100" b="0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SEMANA</a:t>
          </a:r>
          <a:r>
            <a:rPr lang="es-CR" sz="1100" b="0" i="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DEL 1 AL 6 DE SEPTIEMBRE</a:t>
          </a:r>
        </a:p>
        <a:p>
          <a:endParaRPr lang="es-CR" sz="1100" b="0" i="0">
            <a:solidFill>
              <a:srgbClr val="0070C0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="0" i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VACACIONES </a:t>
          </a:r>
          <a:r>
            <a:rPr lang="es-CR" sz="110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endParaRPr lang="es-CR">
            <a:solidFill>
              <a:srgbClr val="0070C0"/>
            </a:solidFill>
            <a:effectLst/>
          </a:endParaRPr>
        </a:p>
        <a:p>
          <a:r>
            <a:rPr lang="es-C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1,2,4 SEPTIEMBRE  ANA ISABEL MURILLO</a:t>
          </a:r>
          <a:r>
            <a:rPr lang="es-C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R">
            <a:effectLst/>
          </a:endParaRPr>
        </a:p>
        <a:p>
          <a:endParaRPr lang="es-C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s-CR" sz="1100" b="0" i="0">
            <a:solidFill>
              <a:schemeClr val="accent4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s-CR" sz="1100" b="0" i="0">
            <a:solidFill>
              <a:schemeClr val="accent4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="0" i="0">
              <a:solidFill>
                <a:schemeClr val="accent4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INCAPCIDADES</a:t>
          </a:r>
        </a:p>
        <a:p>
          <a:endParaRPr lang="es-CR" sz="1100" b="0" i="0">
            <a:solidFill>
              <a:schemeClr val="accent4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KARLA VOILLARREAL CANTILLO 1/9</a:t>
          </a:r>
        </a:p>
        <a:p>
          <a:endParaRPr lang="es-C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OWEN MONTIEL RODRIGUEZ 2/9</a:t>
          </a:r>
        </a:p>
        <a:p>
          <a:endParaRPr lang="es-C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LUISA</a:t>
          </a:r>
          <a:r>
            <a:rPr lang="es-CR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ARCIA MARTINEZ 5,6/8</a:t>
          </a:r>
        </a:p>
        <a:p>
          <a:endParaRPr lang="es-CR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="0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AUSENCIAS </a:t>
          </a:r>
        </a:p>
        <a:p>
          <a:endParaRPr lang="es-CR" sz="1100" b="0" i="0" baseline="0">
            <a:solidFill>
              <a:srgbClr val="002060"/>
            </a:solidFill>
            <a:effectLst/>
            <a:latin typeface="+mn-lt"/>
            <a:ea typeface="+mn-ea"/>
            <a:cs typeface="+mn-cs"/>
          </a:endParaRPr>
        </a:p>
        <a:p>
          <a:r>
            <a:rPr lang="es-CR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KARLA VILLARREAL CANTILLO 5/9 AISENCIA INJUSTIFICADA</a:t>
          </a:r>
        </a:p>
        <a:p>
          <a:endParaRPr lang="es-CR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R" sz="1100" b="0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rPr>
            <a:t>RENUNCIA </a:t>
          </a:r>
        </a:p>
        <a:p>
          <a:r>
            <a:rPr lang="es-CR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OWEN MONTIEL RODRIGURZ 4/9</a:t>
          </a:r>
          <a:endParaRPr lang="es-CR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s-CR">
            <a:effectLst/>
          </a:endParaRPr>
        </a:p>
      </xdr:txBody>
    </xdr:sp>
    <xdr:clientData/>
  </xdr:oneCellAnchor>
  <xdr:oneCellAnchor>
    <xdr:from>
      <xdr:col>1</xdr:col>
      <xdr:colOff>1251595</xdr:colOff>
      <xdr:row>33</xdr:row>
      <xdr:rowOff>36811</xdr:rowOff>
    </xdr:from>
    <xdr:ext cx="3910720" cy="451402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7D73FBD7-0E55-40C0-93D0-D18B3CBB9CEB}"/>
            </a:ext>
          </a:extLst>
        </xdr:cNvPr>
        <xdr:cNvSpPr txBox="1"/>
      </xdr:nvSpPr>
      <xdr:spPr>
        <a:xfrm>
          <a:off x="4203169" y="5892922"/>
          <a:ext cx="3910720" cy="4514021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CR">
              <a:solidFill>
                <a:srgbClr val="0070C0"/>
              </a:solidFill>
              <a:effectLst/>
            </a:rPr>
            <a:t>SEMANA DEL 6 AL 13 DE SEPTEMBRE</a:t>
          </a:r>
        </a:p>
        <a:p>
          <a:endParaRPr lang="es-CR">
            <a:solidFill>
              <a:srgbClr val="0070C0"/>
            </a:solidFill>
            <a:effectLst/>
          </a:endParaRPr>
        </a:p>
        <a:p>
          <a:r>
            <a:rPr lang="es-CR">
              <a:solidFill>
                <a:srgbClr val="0070C0"/>
              </a:solidFill>
              <a:effectLst/>
            </a:rPr>
            <a:t>INCAPACIDADES</a:t>
          </a:r>
        </a:p>
        <a:p>
          <a:r>
            <a:rPr lang="es-CR">
              <a:solidFill>
                <a:srgbClr val="002060"/>
              </a:solidFill>
              <a:effectLst/>
            </a:rPr>
            <a:t> </a:t>
          </a:r>
        </a:p>
        <a:p>
          <a:r>
            <a:rPr lang="es-CR">
              <a:solidFill>
                <a:schemeClr val="tx1"/>
              </a:solidFill>
              <a:effectLst/>
            </a:rPr>
            <a:t>MARILYN</a:t>
          </a:r>
          <a:r>
            <a:rPr lang="es-CR" baseline="0">
              <a:solidFill>
                <a:schemeClr val="tx1"/>
              </a:solidFill>
              <a:effectLst/>
            </a:rPr>
            <a:t> JIMENEZ 7/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FABIOLA ARIAS HERNADEZ 10.11,12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MARIA FERNANDA CAMPOS ULLOA 12,13</a:t>
          </a:r>
        </a:p>
        <a:p>
          <a:endParaRPr lang="es-CR" baseline="0">
            <a:solidFill>
              <a:schemeClr val="tx1"/>
            </a:solidFill>
            <a:effectLst/>
          </a:endParaRPr>
        </a:p>
        <a:p>
          <a:endParaRPr lang="es-CR" baseline="0">
            <a:solidFill>
              <a:schemeClr val="tx1"/>
            </a:solidFill>
            <a:effectLst/>
          </a:endParaRPr>
        </a:p>
        <a:p>
          <a:r>
            <a:rPr lang="es-CR" baseline="0">
              <a:solidFill>
                <a:srgbClr val="0070C0"/>
              </a:solidFill>
              <a:effectLst/>
            </a:rPr>
            <a:t>RENUNCIA </a:t>
          </a:r>
          <a:endParaRPr lang="es-CR" baseline="0">
            <a:solidFill>
              <a:schemeClr val="tx1"/>
            </a:solidFill>
            <a:effectLst/>
          </a:endParaRPr>
        </a:p>
        <a:p>
          <a:r>
            <a:rPr lang="es-CR" baseline="0">
              <a:solidFill>
                <a:schemeClr val="tx1"/>
              </a:solidFill>
              <a:effectLst/>
            </a:rPr>
            <a:t>YOLANDA RETCHELTS SILES 9/9  , SE RETIRO 2 PM REBAJAR 4 DE JORNADA</a:t>
          </a:r>
        </a:p>
        <a:p>
          <a:endParaRPr lang="es-CR" baseline="0">
            <a:solidFill>
              <a:schemeClr val="tx1"/>
            </a:solidFill>
            <a:effectLst/>
          </a:endParaRPr>
        </a:p>
        <a:p>
          <a:r>
            <a:rPr lang="es-CR" baseline="0">
              <a:solidFill>
                <a:srgbClr val="0070C0"/>
              </a:solidFill>
              <a:effectLst/>
            </a:rPr>
            <a:t>AUSENCIAS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 MARILYN JIMEENEZ ARIAS 10/ SE LE ENFERMO LA HIJA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KARLA VILARREAL CANTILLO 12/9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MARITZA ZAMORA FLORES 12/9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MARILYN JIMENEZ 13/9</a:t>
          </a:r>
        </a:p>
        <a:p>
          <a:endParaRPr lang="es-CR" baseline="0">
            <a:solidFill>
              <a:srgbClr val="0070C0"/>
            </a:solidFill>
            <a:effectLst/>
          </a:endParaRPr>
        </a:p>
        <a:p>
          <a:r>
            <a:rPr lang="es-CR" baseline="0">
              <a:solidFill>
                <a:srgbClr val="0070C0"/>
              </a:solidFill>
              <a:effectLst/>
            </a:rPr>
            <a:t>NUEVO INGRESO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MARIA FERNANDA CAMPOS ULLOA 11/9</a:t>
          </a:r>
        </a:p>
        <a:p>
          <a:endParaRPr lang="es-CR" baseline="0">
            <a:solidFill>
              <a:schemeClr val="tx1"/>
            </a:solidFill>
            <a:effectLst/>
          </a:endParaRPr>
        </a:p>
        <a:p>
          <a:r>
            <a:rPr lang="es-CR" baseline="0">
              <a:solidFill>
                <a:srgbClr val="0070C0"/>
              </a:solidFill>
              <a:effectLst/>
            </a:rPr>
            <a:t> VACACIONES </a:t>
          </a:r>
          <a:endParaRPr lang="es-CR" baseline="0">
            <a:solidFill>
              <a:schemeClr val="tx1"/>
            </a:solidFill>
            <a:effectLst/>
          </a:endParaRPr>
        </a:p>
        <a:p>
          <a:r>
            <a:rPr lang="es-CR" baseline="0">
              <a:solidFill>
                <a:schemeClr val="tx1"/>
              </a:solidFill>
              <a:effectLst/>
            </a:rPr>
            <a:t> FABIOLA ARIAS 13/9</a:t>
          </a:r>
        </a:p>
      </xdr:txBody>
    </xdr:sp>
    <xdr:clientData/>
  </xdr:one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93040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E95F0FA2-8A97-4866-BE94-3FC63B8FC0D1}"/>
            </a:ext>
          </a:extLst>
        </xdr:cNvPr>
        <xdr:cNvSpPr>
          <a:spLocks noChangeAspect="1" noChangeArrowheads="1"/>
        </xdr:cNvSpPr>
      </xdr:nvSpPr>
      <xdr:spPr bwMode="auto">
        <a:xfrm>
          <a:off x="2952750" y="920750"/>
          <a:ext cx="304800" cy="30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93040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2756308F-3AFD-4609-A795-0CF3FE8CD815}"/>
            </a:ext>
          </a:extLst>
        </xdr:cNvPr>
        <xdr:cNvSpPr>
          <a:spLocks noChangeAspect="1" noChangeArrowheads="1"/>
        </xdr:cNvSpPr>
      </xdr:nvSpPr>
      <xdr:spPr bwMode="auto">
        <a:xfrm>
          <a:off x="2952750" y="920750"/>
          <a:ext cx="304800" cy="302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152870</xdr:colOff>
      <xdr:row>33</xdr:row>
      <xdr:rowOff>23519</xdr:rowOff>
    </xdr:from>
    <xdr:to>
      <xdr:col>11</xdr:col>
      <xdr:colOff>329259</xdr:colOff>
      <xdr:row>61</xdr:row>
      <xdr:rowOff>11760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ADABDD1-F676-9A28-02D9-711A7A0C3F16}"/>
            </a:ext>
          </a:extLst>
        </xdr:cNvPr>
        <xdr:cNvSpPr txBox="1"/>
      </xdr:nvSpPr>
      <xdr:spPr>
        <a:xfrm>
          <a:off x="8478426" y="6067778"/>
          <a:ext cx="5526852" cy="525638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>
              <a:solidFill>
                <a:srgbClr val="0070C0"/>
              </a:solidFill>
              <a:effectLst/>
            </a:rPr>
            <a:t>SEMANA DEL 13 AL 20</a:t>
          </a:r>
        </a:p>
        <a:p>
          <a:endParaRPr lang="es-CR">
            <a:solidFill>
              <a:srgbClr val="0070C0"/>
            </a:solidFill>
            <a:effectLst/>
          </a:endParaRPr>
        </a:p>
        <a:p>
          <a:r>
            <a:rPr lang="es-CR">
              <a:solidFill>
                <a:srgbClr val="0070C0"/>
              </a:solidFill>
              <a:effectLst/>
            </a:rPr>
            <a:t>INCAPACIDADES </a:t>
          </a:r>
        </a:p>
        <a:p>
          <a:r>
            <a:rPr lang="es-CR">
              <a:solidFill>
                <a:schemeClr val="tx1"/>
              </a:solidFill>
              <a:effectLst/>
            </a:rPr>
            <a:t>MARILYN JIMENEZ ARIAS 14/20</a:t>
          </a:r>
        </a:p>
        <a:p>
          <a:r>
            <a:rPr lang="es-CR">
              <a:solidFill>
                <a:schemeClr val="tx1"/>
              </a:solidFill>
              <a:effectLst/>
            </a:rPr>
            <a:t>MARIA</a:t>
          </a:r>
          <a:r>
            <a:rPr lang="es-CR" baseline="0">
              <a:solidFill>
                <a:schemeClr val="tx1"/>
              </a:solidFill>
              <a:effectLst/>
            </a:rPr>
            <a:t> FERNANDA CAMPOS ULLOA 16/17/19/20/21</a:t>
          </a:r>
        </a:p>
        <a:p>
          <a:r>
            <a:rPr lang="es-CR" baseline="0">
              <a:solidFill>
                <a:schemeClr val="tx1"/>
              </a:solidFill>
              <a:effectLst/>
            </a:rPr>
            <a:t>FABIOLA ARIAS HERNADEZ 17/18/19</a:t>
          </a:r>
        </a:p>
        <a:p>
          <a:endParaRPr lang="es-CR">
            <a:solidFill>
              <a:schemeClr val="tx1"/>
            </a:solidFill>
            <a:effectLst/>
          </a:endParaRPr>
        </a:p>
        <a:p>
          <a:endParaRPr lang="es-CR">
            <a:solidFill>
              <a:schemeClr val="tx1"/>
            </a:solidFill>
            <a:effectLst/>
          </a:endParaRPr>
        </a:p>
        <a:p>
          <a:r>
            <a:rPr lang="es-CR">
              <a:solidFill>
                <a:srgbClr val="C00000"/>
              </a:solidFill>
              <a:effectLst/>
            </a:rPr>
            <a:t>TRAJARON FERIAD0 15 DE SETIEMBRE</a:t>
          </a:r>
        </a:p>
        <a:p>
          <a:endParaRPr lang="es-CR">
            <a:solidFill>
              <a:srgbClr val="0070C0"/>
            </a:solidFill>
            <a:effectLst/>
          </a:endParaRP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HEIDY CONTRERA BKUP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CAROLINA BALTODANO BKUP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KARLA VILLARREAL( TIENE LIBRES DOMINGO)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KATTIA  RIVERA ( CAMBIO DE DIA LIBRE POR SOLICITUD DE TIENDA)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KYARA  CERRANO Z( TRABAJA DOMINGOS DE QUINCENA)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AURA LILA MSRTINEZ ( TIENE LIBRE MIERCOLES)</a:t>
          </a:r>
        </a:p>
        <a:p>
          <a:r>
            <a:rPr lang="es-CR" baseline="0">
              <a:solidFill>
                <a:sysClr val="windowText" lastClr="000000"/>
              </a:solidFill>
              <a:effectLst/>
            </a:rPr>
            <a:t>ANNA ISABEL MURILLO( TIEN LIBRE LOS JUEVES)</a:t>
          </a:r>
        </a:p>
        <a:p>
          <a:endParaRPr lang="es-CR" baseline="0">
            <a:solidFill>
              <a:sysClr val="windowText" lastClr="000000"/>
            </a:solidFill>
            <a:effectLst/>
          </a:endParaRPr>
        </a:p>
        <a:p>
          <a:r>
            <a:rPr lang="es-CR">
              <a:solidFill>
                <a:srgbClr val="0070C0"/>
              </a:solidFill>
              <a:effectLst/>
            </a:rPr>
            <a:t>VACACIONES</a:t>
          </a:r>
        </a:p>
        <a:p>
          <a:pPr marL="0" indent="0"/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AURA LILA DL 17 AL 24</a:t>
          </a:r>
        </a:p>
        <a:p>
          <a:pPr marL="0" indent="0"/>
          <a:r>
            <a:rPr lang="es-C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YORLYN CAMPOS 17/9</a:t>
          </a:r>
        </a:p>
        <a:p>
          <a:pPr marL="0" indent="0"/>
          <a:endParaRPr lang="es-C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indent="0"/>
          <a:r>
            <a:rPr lang="es-CR" sz="1100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NUEVO INGRESO</a:t>
          </a:r>
        </a:p>
        <a:p>
          <a:r>
            <a:rPr lang="es-CR" b="0">
              <a:solidFill>
                <a:schemeClr val="tx1"/>
              </a:solidFill>
              <a:effectLst/>
            </a:rPr>
            <a:t>EVANNY</a:t>
          </a:r>
          <a:r>
            <a:rPr lang="es-CR" b="0" baseline="0">
              <a:solidFill>
                <a:schemeClr val="tx1"/>
              </a:solidFill>
              <a:effectLst/>
            </a:rPr>
            <a:t> MICHELLE FONCECA CAMBRONERO 16/9</a:t>
          </a:r>
        </a:p>
        <a:p>
          <a:endParaRPr lang="es-CR" b="0">
            <a:solidFill>
              <a:schemeClr val="tx1"/>
            </a:solidFill>
            <a:effectLst/>
          </a:endParaRPr>
        </a:p>
        <a:p>
          <a:r>
            <a:rPr lang="es-CR">
              <a:solidFill>
                <a:srgbClr val="0070C0"/>
              </a:solidFill>
              <a:effectLst/>
            </a:rPr>
            <a:t>AUSENCIAS </a:t>
          </a:r>
        </a:p>
        <a:p>
          <a:endParaRPr lang="es-CR">
            <a:solidFill>
              <a:srgbClr val="0070C0"/>
            </a:solidFill>
            <a:effectLst/>
          </a:endParaRPr>
        </a:p>
        <a:p>
          <a:r>
            <a:rPr lang="es-CR">
              <a:solidFill>
                <a:schemeClr val="tx1"/>
              </a:solidFill>
              <a:effectLst/>
            </a:rPr>
            <a:t>ANDREINA</a:t>
          </a:r>
          <a:r>
            <a:rPr lang="es-CR" baseline="0">
              <a:solidFill>
                <a:schemeClr val="tx1"/>
              </a:solidFill>
              <a:effectLst/>
            </a:rPr>
            <a:t> SANDOVAL DELGADO 16/9</a:t>
          </a:r>
        </a:p>
        <a:p>
          <a:endParaRPr lang="es-CR" baseline="0">
            <a:solidFill>
              <a:schemeClr val="tx1"/>
            </a:solidFill>
            <a:effectLst/>
          </a:endParaRPr>
        </a:p>
        <a:p>
          <a:endParaRPr lang="es-CR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11</xdr:col>
      <xdr:colOff>540925</xdr:colOff>
      <xdr:row>33</xdr:row>
      <xdr:rowOff>0</xdr:rowOff>
    </xdr:from>
    <xdr:to>
      <xdr:col>16</xdr:col>
      <xdr:colOff>578066</xdr:colOff>
      <xdr:row>57</xdr:row>
      <xdr:rowOff>23518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ADFAEA0-C926-CFC3-73E0-B1852E6FF459}"/>
            </a:ext>
          </a:extLst>
        </xdr:cNvPr>
        <xdr:cNvSpPr txBox="1"/>
      </xdr:nvSpPr>
      <xdr:spPr>
        <a:xfrm rot="10800000" flipH="1" flipV="1">
          <a:off x="14216944" y="6044259"/>
          <a:ext cx="3858900" cy="4539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R" sz="1100">
              <a:solidFill>
                <a:srgbClr val="0070C0"/>
              </a:solidFill>
            </a:rPr>
            <a:t>SEMANA DEL 20 AL 27</a:t>
          </a:r>
        </a:p>
        <a:p>
          <a:endParaRPr lang="es-CR" sz="1100"/>
        </a:p>
        <a:p>
          <a:r>
            <a:rPr lang="es-CR" sz="1100">
              <a:solidFill>
                <a:srgbClr val="0070C0"/>
              </a:solidFill>
            </a:rPr>
            <a:t>INCAPACIDADES</a:t>
          </a:r>
        </a:p>
        <a:p>
          <a:r>
            <a:rPr lang="es-CR" sz="1100"/>
            <a:t>JACKELINE ARIAS</a:t>
          </a:r>
          <a:r>
            <a:rPr lang="es-CR" sz="1100" baseline="0"/>
            <a:t> CHINCHILLA 21/9</a:t>
          </a:r>
          <a:endParaRPr lang="es-C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3D5F-BFBB-4AAF-82A9-35D08F08BBB5}">
  <dimension ref="B1:AM31"/>
  <sheetViews>
    <sheetView topLeftCell="C1" zoomScale="54" zoomScaleNormal="54" workbookViewId="0">
      <selection activeCell="B1" sqref="B1:AM31"/>
    </sheetView>
  </sheetViews>
  <sheetFormatPr baseColWidth="10" defaultRowHeight="14.5" x14ac:dyDescent="0.35"/>
  <cols>
    <col min="1" max="1" width="10.90625" customWidth="1"/>
    <col min="2" max="2" width="48.7265625" customWidth="1"/>
    <col min="3" max="3" width="49.54296875" customWidth="1"/>
    <col min="4" max="34" width="7.26953125" customWidth="1"/>
  </cols>
  <sheetData>
    <row r="1" spans="2:39" x14ac:dyDescent="0.35"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spans="2:39" x14ac:dyDescent="0.35">
      <c r="B2" s="23" t="s">
        <v>0</v>
      </c>
      <c r="C2" s="23" t="s">
        <v>1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  <c r="AI2" s="21" t="s">
        <v>2</v>
      </c>
      <c r="AJ2" s="21" t="s">
        <v>55</v>
      </c>
      <c r="AK2" s="21" t="s">
        <v>56</v>
      </c>
      <c r="AL2" s="21" t="s">
        <v>57</v>
      </c>
      <c r="AM2" s="21" t="s">
        <v>58</v>
      </c>
    </row>
    <row r="3" spans="2:39" x14ac:dyDescent="0.35">
      <c r="B3" s="24"/>
      <c r="C3" s="24"/>
      <c r="D3" s="2" t="s">
        <v>6</v>
      </c>
      <c r="E3" s="2" t="s">
        <v>7</v>
      </c>
      <c r="F3" s="2" t="s">
        <v>8</v>
      </c>
      <c r="G3" s="2" t="s">
        <v>9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3</v>
      </c>
      <c r="W3" s="2" t="s">
        <v>4</v>
      </c>
      <c r="X3" s="2" t="s">
        <v>5</v>
      </c>
      <c r="Y3" s="2" t="s">
        <v>6</v>
      </c>
      <c r="Z3" s="2" t="s">
        <v>7</v>
      </c>
      <c r="AA3" s="2" t="s">
        <v>8</v>
      </c>
      <c r="AB3" s="2" t="s">
        <v>9</v>
      </c>
      <c r="AC3" s="2" t="s">
        <v>3</v>
      </c>
      <c r="AD3" s="2" t="s">
        <v>4</v>
      </c>
      <c r="AE3" s="2" t="s">
        <v>5</v>
      </c>
      <c r="AF3" s="2" t="s">
        <v>6</v>
      </c>
      <c r="AG3" s="2" t="s">
        <v>7</v>
      </c>
      <c r="AH3" s="2" t="s">
        <v>8</v>
      </c>
      <c r="AI3" s="22"/>
      <c r="AJ3" s="22"/>
      <c r="AK3" s="22"/>
      <c r="AL3" s="22"/>
      <c r="AM3" s="22"/>
    </row>
    <row r="4" spans="2:39" x14ac:dyDescent="0.35">
      <c r="B4" s="3" t="s">
        <v>10</v>
      </c>
      <c r="C4" s="4" t="s">
        <v>11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4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4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4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6">
        <v>4</v>
      </c>
      <c r="AF4" s="5">
        <v>1</v>
      </c>
      <c r="AG4" s="5">
        <v>1</v>
      </c>
      <c r="AH4" s="5">
        <v>1</v>
      </c>
      <c r="AI4" s="7">
        <f>COUNTIF(D4:AH4,"1")</f>
        <v>27</v>
      </c>
      <c r="AJ4" s="8">
        <f>COUNTIF(D4:AH4,"2")</f>
        <v>0</v>
      </c>
      <c r="AK4" s="9">
        <f>COUNTIF(D4:AH4,"3")</f>
        <v>0</v>
      </c>
      <c r="AL4" s="10">
        <f>COUNTIF(D4:AH4,"4")</f>
        <v>4</v>
      </c>
      <c r="AM4" s="11">
        <f>COUNTIF(D4:AH4,"5")</f>
        <v>0</v>
      </c>
    </row>
    <row r="5" spans="2:39" x14ac:dyDescent="0.35">
      <c r="B5" s="3" t="s">
        <v>12</v>
      </c>
      <c r="C5" s="4" t="s">
        <v>48</v>
      </c>
      <c r="D5" s="5">
        <v>2</v>
      </c>
      <c r="E5" s="5">
        <v>1</v>
      </c>
      <c r="F5" s="5">
        <v>1</v>
      </c>
      <c r="G5" s="5">
        <v>1</v>
      </c>
      <c r="H5" s="5">
        <v>1</v>
      </c>
      <c r="I5" s="5">
        <v>4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4</v>
      </c>
      <c r="Q5" s="5">
        <v>1</v>
      </c>
      <c r="R5" s="5">
        <v>1</v>
      </c>
      <c r="S5" s="5">
        <v>1</v>
      </c>
      <c r="T5" s="6">
        <v>1</v>
      </c>
      <c r="U5" s="5">
        <v>1</v>
      </c>
      <c r="V5" s="5">
        <v>1</v>
      </c>
      <c r="W5" s="5">
        <v>4</v>
      </c>
      <c r="X5" s="5">
        <v>1</v>
      </c>
      <c r="Y5" s="5">
        <v>1</v>
      </c>
      <c r="Z5" s="5">
        <v>1</v>
      </c>
      <c r="AA5" s="5">
        <v>1</v>
      </c>
      <c r="AB5" s="5">
        <v>1</v>
      </c>
      <c r="AC5" s="5">
        <v>1</v>
      </c>
      <c r="AD5" s="5">
        <v>4</v>
      </c>
      <c r="AE5" s="5">
        <v>1</v>
      </c>
      <c r="AF5" s="5">
        <v>1</v>
      </c>
      <c r="AG5" s="5">
        <v>1</v>
      </c>
      <c r="AH5" s="5">
        <v>1</v>
      </c>
      <c r="AI5" s="7">
        <f t="shared" ref="AI5:AI31" si="0">COUNTIF(D5:AH5,"1")</f>
        <v>26</v>
      </c>
      <c r="AJ5" s="8">
        <f t="shared" ref="AJ5:AJ31" si="1">COUNTIF(D5:AH5,"2")</f>
        <v>1</v>
      </c>
      <c r="AK5" s="9">
        <f t="shared" ref="AK5:AK31" si="2">COUNTIF(D5:AH5,"3")</f>
        <v>0</v>
      </c>
      <c r="AL5" s="10">
        <f t="shared" ref="AL5:AL31" si="3">COUNTIF(D5:AH5,"4")</f>
        <v>4</v>
      </c>
      <c r="AM5" s="11">
        <f t="shared" ref="AM5:AM31" si="4">COUNTIF(D5:AH5,"5")</f>
        <v>0</v>
      </c>
    </row>
    <row r="6" spans="2:39" x14ac:dyDescent="0.35">
      <c r="B6" s="3" t="s">
        <v>15</v>
      </c>
      <c r="C6" s="4" t="s">
        <v>14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4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6">
        <v>4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4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4</v>
      </c>
      <c r="AD6" s="5">
        <v>1</v>
      </c>
      <c r="AE6" s="5">
        <v>1</v>
      </c>
      <c r="AF6" s="5">
        <v>1</v>
      </c>
      <c r="AG6" s="5">
        <v>1</v>
      </c>
      <c r="AH6" s="5">
        <v>1</v>
      </c>
      <c r="AI6" s="7">
        <f t="shared" si="0"/>
        <v>27</v>
      </c>
      <c r="AJ6" s="8">
        <f t="shared" si="1"/>
        <v>0</v>
      </c>
      <c r="AK6" s="9">
        <f t="shared" si="2"/>
        <v>0</v>
      </c>
      <c r="AL6" s="10">
        <f t="shared" si="3"/>
        <v>4</v>
      </c>
      <c r="AM6" s="11">
        <f t="shared" si="4"/>
        <v>0</v>
      </c>
    </row>
    <row r="7" spans="2:39" x14ac:dyDescent="0.35">
      <c r="B7" s="3" t="s">
        <v>16</v>
      </c>
      <c r="C7" s="4" t="s">
        <v>17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4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4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4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>
        <v>4</v>
      </c>
      <c r="AE7" s="5">
        <v>1</v>
      </c>
      <c r="AF7" s="5">
        <v>1</v>
      </c>
      <c r="AG7" s="5">
        <v>1</v>
      </c>
      <c r="AH7" s="5">
        <v>1</v>
      </c>
      <c r="AI7" s="7">
        <f t="shared" ref="AI7:AI11" si="5">COUNTIF(D7:AH7,"1")</f>
        <v>27</v>
      </c>
      <c r="AJ7" s="8">
        <f t="shared" si="1"/>
        <v>0</v>
      </c>
      <c r="AK7" s="9">
        <f t="shared" si="2"/>
        <v>0</v>
      </c>
      <c r="AL7" s="10">
        <f t="shared" si="3"/>
        <v>4</v>
      </c>
      <c r="AM7" s="11">
        <f t="shared" si="4"/>
        <v>0</v>
      </c>
    </row>
    <row r="8" spans="2:39" x14ac:dyDescent="0.35">
      <c r="B8" s="3" t="s">
        <v>18</v>
      </c>
      <c r="C8" s="4" t="s">
        <v>19</v>
      </c>
      <c r="D8" s="5">
        <v>2</v>
      </c>
      <c r="E8" s="5">
        <v>1</v>
      </c>
      <c r="F8" s="5">
        <v>1</v>
      </c>
      <c r="G8" s="5">
        <v>3</v>
      </c>
      <c r="H8" s="5">
        <v>3</v>
      </c>
      <c r="I8" s="5">
        <v>4</v>
      </c>
      <c r="J8" s="5">
        <v>1</v>
      </c>
      <c r="K8" s="5">
        <v>1</v>
      </c>
      <c r="L8" s="5">
        <v>1</v>
      </c>
      <c r="M8" s="5">
        <v>1</v>
      </c>
      <c r="N8" s="5">
        <v>2</v>
      </c>
      <c r="O8" s="5">
        <v>1</v>
      </c>
      <c r="P8" s="5">
        <v>4</v>
      </c>
      <c r="Q8" s="5">
        <v>1</v>
      </c>
      <c r="R8" s="5">
        <v>1</v>
      </c>
      <c r="S8" s="5">
        <v>1</v>
      </c>
      <c r="T8" s="5">
        <v>2</v>
      </c>
      <c r="U8" s="5">
        <v>1</v>
      </c>
      <c r="V8" s="6">
        <v>1</v>
      </c>
      <c r="W8" s="5">
        <v>4</v>
      </c>
      <c r="X8" s="5">
        <v>1</v>
      </c>
      <c r="Y8" s="5">
        <v>1</v>
      </c>
      <c r="Z8" s="5">
        <v>1</v>
      </c>
      <c r="AA8" s="5">
        <v>1</v>
      </c>
      <c r="AB8" s="5">
        <v>3</v>
      </c>
      <c r="AC8" s="5">
        <v>3</v>
      </c>
      <c r="AD8" s="5">
        <v>3</v>
      </c>
      <c r="AE8" s="5">
        <v>3</v>
      </c>
      <c r="AF8" s="5">
        <v>3</v>
      </c>
      <c r="AG8" s="5">
        <v>2</v>
      </c>
      <c r="AH8" s="5">
        <v>1</v>
      </c>
      <c r="AI8" s="7">
        <f t="shared" si="5"/>
        <v>17</v>
      </c>
      <c r="AJ8" s="8">
        <f t="shared" ref="AJ8:AJ12" si="6">COUNTIF(D8:AH8,"2")</f>
        <v>4</v>
      </c>
      <c r="AK8" s="9">
        <f t="shared" ref="AK8:AK12" si="7">COUNTIF(D8:AH8,"3")</f>
        <v>7</v>
      </c>
      <c r="AL8" s="10">
        <f t="shared" ref="AL8:AL12" si="8">COUNTIF(D8:AH8,"4")</f>
        <v>3</v>
      </c>
      <c r="AM8" s="11">
        <f t="shared" ref="AM8:AM12" si="9">COUNTIF(D8:AH8,"5")</f>
        <v>0</v>
      </c>
    </row>
    <row r="9" spans="2:39" x14ac:dyDescent="0.35">
      <c r="B9" s="3" t="s">
        <v>20</v>
      </c>
      <c r="C9" s="4" t="s">
        <v>47</v>
      </c>
      <c r="D9" s="5">
        <v>2</v>
      </c>
      <c r="E9" s="5">
        <v>3</v>
      </c>
      <c r="F9" s="5">
        <v>2</v>
      </c>
      <c r="G9" s="5">
        <v>3</v>
      </c>
      <c r="H9" s="5">
        <v>3</v>
      </c>
      <c r="I9" s="5">
        <v>4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4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4</v>
      </c>
      <c r="Z9" s="5">
        <v>1</v>
      </c>
      <c r="AA9" s="5">
        <v>1</v>
      </c>
      <c r="AB9" s="5">
        <v>1</v>
      </c>
      <c r="AC9" s="5">
        <v>1</v>
      </c>
      <c r="AD9" s="5">
        <v>4</v>
      </c>
      <c r="AE9" s="5">
        <v>1</v>
      </c>
      <c r="AF9" s="5">
        <v>1</v>
      </c>
      <c r="AG9" s="5">
        <v>3</v>
      </c>
      <c r="AH9" s="5">
        <v>1</v>
      </c>
      <c r="AI9" s="7">
        <f t="shared" si="5"/>
        <v>21</v>
      </c>
      <c r="AJ9" s="8">
        <f t="shared" si="6"/>
        <v>2</v>
      </c>
      <c r="AK9" s="9">
        <f t="shared" si="7"/>
        <v>4</v>
      </c>
      <c r="AL9" s="10">
        <f t="shared" si="8"/>
        <v>4</v>
      </c>
      <c r="AM9" s="11">
        <f t="shared" si="9"/>
        <v>0</v>
      </c>
    </row>
    <row r="10" spans="2:39" x14ac:dyDescent="0.35">
      <c r="B10" s="3" t="s">
        <v>21</v>
      </c>
      <c r="C10" s="4" t="s">
        <v>22</v>
      </c>
      <c r="D10" s="5">
        <v>2</v>
      </c>
      <c r="E10" s="5">
        <v>1</v>
      </c>
      <c r="F10" s="5">
        <v>1</v>
      </c>
      <c r="G10" s="5">
        <v>1</v>
      </c>
      <c r="H10" s="5">
        <v>1</v>
      </c>
      <c r="I10" s="5">
        <v>4</v>
      </c>
      <c r="J10" s="5">
        <v>1</v>
      </c>
      <c r="K10" s="5">
        <v>1</v>
      </c>
      <c r="L10" s="5">
        <v>1</v>
      </c>
      <c r="M10" s="5">
        <v>3</v>
      </c>
      <c r="N10" s="5">
        <v>3</v>
      </c>
      <c r="O10" s="5">
        <v>1</v>
      </c>
      <c r="P10" s="6">
        <v>1</v>
      </c>
      <c r="Q10" s="5">
        <v>4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4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4</v>
      </c>
      <c r="AE10" s="5">
        <v>1</v>
      </c>
      <c r="AF10" s="5">
        <v>1</v>
      </c>
      <c r="AG10" s="5">
        <v>1</v>
      </c>
      <c r="AH10" s="5">
        <v>1</v>
      </c>
      <c r="AI10" s="7">
        <f t="shared" si="5"/>
        <v>24</v>
      </c>
      <c r="AJ10" s="8">
        <f t="shared" si="6"/>
        <v>1</v>
      </c>
      <c r="AK10" s="9">
        <f t="shared" si="7"/>
        <v>2</v>
      </c>
      <c r="AL10" s="10">
        <f t="shared" si="8"/>
        <v>4</v>
      </c>
      <c r="AM10" s="11">
        <f t="shared" si="9"/>
        <v>0</v>
      </c>
    </row>
    <row r="11" spans="2:39" x14ac:dyDescent="0.35">
      <c r="B11" s="3" t="s">
        <v>23</v>
      </c>
      <c r="C11" s="4" t="s">
        <v>44</v>
      </c>
      <c r="D11" s="5">
        <v>2</v>
      </c>
      <c r="E11" s="5">
        <v>1</v>
      </c>
      <c r="F11" s="5">
        <v>1</v>
      </c>
      <c r="G11" s="5">
        <v>1</v>
      </c>
      <c r="H11" s="5">
        <v>1</v>
      </c>
      <c r="I11" s="5">
        <v>4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4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5</v>
      </c>
      <c r="W11" s="5">
        <v>4</v>
      </c>
      <c r="X11" s="5">
        <v>5</v>
      </c>
      <c r="Y11" s="5">
        <v>5</v>
      </c>
      <c r="Z11" s="5">
        <v>5</v>
      </c>
      <c r="AA11" s="5">
        <v>5</v>
      </c>
      <c r="AB11" s="5">
        <v>5</v>
      </c>
      <c r="AC11" s="5">
        <v>1</v>
      </c>
      <c r="AD11" s="5">
        <v>4</v>
      </c>
      <c r="AE11" s="5">
        <v>1</v>
      </c>
      <c r="AF11" s="5">
        <v>1</v>
      </c>
      <c r="AG11" s="5">
        <v>1</v>
      </c>
      <c r="AH11" s="5">
        <v>1</v>
      </c>
      <c r="AI11" s="7">
        <f t="shared" si="5"/>
        <v>20</v>
      </c>
      <c r="AJ11" s="8">
        <f t="shared" si="6"/>
        <v>1</v>
      </c>
      <c r="AK11" s="9">
        <f t="shared" si="7"/>
        <v>0</v>
      </c>
      <c r="AL11" s="10">
        <f t="shared" si="8"/>
        <v>4</v>
      </c>
      <c r="AM11" s="11">
        <f t="shared" si="9"/>
        <v>6</v>
      </c>
    </row>
    <row r="12" spans="2:39" x14ac:dyDescent="0.35">
      <c r="B12" s="3" t="s">
        <v>24</v>
      </c>
      <c r="C12" s="4" t="s">
        <v>25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4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4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4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4</v>
      </c>
      <c r="AE12" s="5">
        <v>1</v>
      </c>
      <c r="AF12" s="5">
        <v>1</v>
      </c>
      <c r="AG12" s="5">
        <v>1</v>
      </c>
      <c r="AH12" s="5">
        <v>1</v>
      </c>
      <c r="AI12" s="7">
        <f t="shared" ref="AI12:AI29" si="10">COUNTIF(D12:AH12,"1")</f>
        <v>27</v>
      </c>
      <c r="AJ12" s="8">
        <f t="shared" si="6"/>
        <v>0</v>
      </c>
      <c r="AK12" s="9">
        <f t="shared" si="7"/>
        <v>0</v>
      </c>
      <c r="AL12" s="10">
        <f t="shared" si="8"/>
        <v>4</v>
      </c>
      <c r="AM12" s="11">
        <f t="shared" si="9"/>
        <v>0</v>
      </c>
    </row>
    <row r="13" spans="2:39" x14ac:dyDescent="0.35">
      <c r="B13" s="3" t="s">
        <v>26</v>
      </c>
      <c r="C13" s="4" t="s">
        <v>27</v>
      </c>
      <c r="D13" s="5">
        <v>1</v>
      </c>
      <c r="E13" s="5">
        <v>1</v>
      </c>
      <c r="F13" s="5">
        <v>1</v>
      </c>
      <c r="G13" s="5">
        <v>1</v>
      </c>
      <c r="H13" s="5">
        <v>5</v>
      </c>
      <c r="I13" s="5">
        <v>4</v>
      </c>
      <c r="J13" s="5">
        <v>1</v>
      </c>
      <c r="K13" s="5">
        <v>1</v>
      </c>
      <c r="L13" s="5">
        <v>1</v>
      </c>
      <c r="M13" s="5">
        <v>1</v>
      </c>
      <c r="N13" s="5">
        <v>5</v>
      </c>
      <c r="O13" s="5">
        <v>1</v>
      </c>
      <c r="P13" s="5">
        <v>4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6">
        <v>4</v>
      </c>
      <c r="X13" s="5">
        <v>1</v>
      </c>
      <c r="Y13" s="5">
        <v>1</v>
      </c>
      <c r="Z13" s="5">
        <v>1</v>
      </c>
      <c r="AA13" s="5">
        <v>1</v>
      </c>
      <c r="AB13" s="5">
        <v>1</v>
      </c>
      <c r="AC13" s="6">
        <v>1</v>
      </c>
      <c r="AD13" s="5">
        <v>4</v>
      </c>
      <c r="AE13" s="5">
        <v>1</v>
      </c>
      <c r="AF13" s="5">
        <v>1</v>
      </c>
      <c r="AG13" s="5">
        <v>1</v>
      </c>
      <c r="AH13" s="5">
        <v>1</v>
      </c>
      <c r="AI13" s="7">
        <f t="shared" si="10"/>
        <v>25</v>
      </c>
      <c r="AJ13" s="8">
        <f t="shared" ref="AJ13:AJ29" si="11">COUNTIF(D13:AH13,"2")</f>
        <v>0</v>
      </c>
      <c r="AK13" s="9">
        <f t="shared" ref="AK13:AK29" si="12">COUNTIF(D13:AH13,"3")</f>
        <v>0</v>
      </c>
      <c r="AL13" s="10">
        <f t="shared" ref="AL13:AL29" si="13">COUNTIF(D13:AH13,"4")</f>
        <v>4</v>
      </c>
      <c r="AM13" s="11">
        <f t="shared" ref="AM13:AM29" si="14">COUNTIF(D13:AH13,"5")</f>
        <v>2</v>
      </c>
    </row>
    <row r="14" spans="2:39" x14ac:dyDescent="0.35">
      <c r="B14" s="3" t="s">
        <v>28</v>
      </c>
      <c r="C14" s="4" t="s">
        <v>29</v>
      </c>
      <c r="D14" s="5">
        <v>2</v>
      </c>
      <c r="E14" s="5">
        <v>1</v>
      </c>
      <c r="F14" s="5">
        <v>1</v>
      </c>
      <c r="G14" s="5">
        <v>1</v>
      </c>
      <c r="H14" s="5">
        <v>1</v>
      </c>
      <c r="I14" s="5">
        <v>4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4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4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4</v>
      </c>
      <c r="AE14" s="5">
        <v>1</v>
      </c>
      <c r="AF14" s="5">
        <v>1</v>
      </c>
      <c r="AG14" s="5">
        <v>1</v>
      </c>
      <c r="AH14" s="5">
        <v>1</v>
      </c>
      <c r="AI14" s="7">
        <f t="shared" si="10"/>
        <v>26</v>
      </c>
      <c r="AJ14" s="8">
        <f t="shared" si="11"/>
        <v>1</v>
      </c>
      <c r="AK14" s="9">
        <f t="shared" si="12"/>
        <v>0</v>
      </c>
      <c r="AL14" s="10">
        <f t="shared" si="13"/>
        <v>4</v>
      </c>
      <c r="AM14" s="11">
        <f t="shared" si="14"/>
        <v>0</v>
      </c>
    </row>
    <row r="15" spans="2:39" x14ac:dyDescent="0.35">
      <c r="B15" s="3" t="s">
        <v>13</v>
      </c>
      <c r="C15" s="4" t="s">
        <v>30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4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4</v>
      </c>
      <c r="Q15" s="5">
        <v>1</v>
      </c>
      <c r="R15" s="6">
        <v>1</v>
      </c>
      <c r="S15" s="5">
        <v>1</v>
      </c>
      <c r="T15" s="5">
        <v>1</v>
      </c>
      <c r="U15" s="5">
        <v>1</v>
      </c>
      <c r="V15" s="5">
        <v>1</v>
      </c>
      <c r="W15" s="5">
        <v>4</v>
      </c>
      <c r="X15" s="5">
        <v>1</v>
      </c>
      <c r="Y15" s="5">
        <v>1</v>
      </c>
      <c r="Z15" s="5">
        <v>1</v>
      </c>
      <c r="AA15" s="5">
        <v>1</v>
      </c>
      <c r="AB15" s="5">
        <v>1</v>
      </c>
      <c r="AC15" s="5">
        <v>1</v>
      </c>
      <c r="AD15" s="5">
        <v>4</v>
      </c>
      <c r="AE15" s="5">
        <v>1</v>
      </c>
      <c r="AF15" s="5">
        <v>1</v>
      </c>
      <c r="AG15" s="5">
        <v>1</v>
      </c>
      <c r="AH15" s="5">
        <v>1</v>
      </c>
      <c r="AI15" s="7">
        <f t="shared" si="10"/>
        <v>27</v>
      </c>
      <c r="AJ15" s="8">
        <f t="shared" si="11"/>
        <v>0</v>
      </c>
      <c r="AK15" s="9">
        <f t="shared" si="12"/>
        <v>0</v>
      </c>
      <c r="AL15" s="10">
        <f t="shared" si="13"/>
        <v>4</v>
      </c>
      <c r="AM15" s="11">
        <f t="shared" si="14"/>
        <v>0</v>
      </c>
    </row>
    <row r="16" spans="2:39" x14ac:dyDescent="0.35">
      <c r="B16" s="3" t="s">
        <v>49</v>
      </c>
      <c r="C16" s="4"/>
      <c r="D16" s="5">
        <v>2</v>
      </c>
      <c r="E16" s="5">
        <v>1</v>
      </c>
      <c r="F16" s="5">
        <v>1</v>
      </c>
      <c r="G16" s="5">
        <v>4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4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4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4</v>
      </c>
      <c r="AE16" s="5">
        <v>1</v>
      </c>
      <c r="AF16" s="5">
        <v>1</v>
      </c>
      <c r="AG16" s="5">
        <v>1</v>
      </c>
      <c r="AH16" s="5">
        <v>1</v>
      </c>
      <c r="AI16" s="7">
        <f t="shared" si="10"/>
        <v>26</v>
      </c>
      <c r="AJ16" s="8">
        <f t="shared" si="11"/>
        <v>1</v>
      </c>
      <c r="AK16" s="9">
        <f t="shared" si="12"/>
        <v>0</v>
      </c>
      <c r="AL16" s="10">
        <f t="shared" si="13"/>
        <v>4</v>
      </c>
      <c r="AM16" s="11">
        <f t="shared" si="14"/>
        <v>0</v>
      </c>
    </row>
    <row r="17" spans="2:39" x14ac:dyDescent="0.35">
      <c r="B17" s="3" t="s">
        <v>32</v>
      </c>
      <c r="C17" s="4" t="s">
        <v>33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4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6">
        <v>4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4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5">
        <v>1</v>
      </c>
      <c r="AD17" s="5">
        <v>4</v>
      </c>
      <c r="AE17" s="5">
        <v>1</v>
      </c>
      <c r="AF17" s="5">
        <v>1</v>
      </c>
      <c r="AG17" s="5">
        <v>1</v>
      </c>
      <c r="AH17" s="5">
        <v>1</v>
      </c>
      <c r="AI17" s="7">
        <f t="shared" si="10"/>
        <v>27</v>
      </c>
      <c r="AJ17" s="8">
        <f t="shared" si="11"/>
        <v>0</v>
      </c>
      <c r="AK17" s="9">
        <f t="shared" si="12"/>
        <v>0</v>
      </c>
      <c r="AL17" s="10">
        <f t="shared" si="13"/>
        <v>4</v>
      </c>
      <c r="AM17" s="11">
        <f t="shared" si="14"/>
        <v>0</v>
      </c>
    </row>
    <row r="18" spans="2:39" x14ac:dyDescent="0.35">
      <c r="B18" s="3" t="s">
        <v>53</v>
      </c>
      <c r="C18" s="4" t="s">
        <v>50</v>
      </c>
      <c r="D18" s="5">
        <v>1</v>
      </c>
      <c r="E18" s="5">
        <v>3</v>
      </c>
      <c r="F18" s="5">
        <v>3</v>
      </c>
      <c r="G18" s="5">
        <v>3</v>
      </c>
      <c r="H18" s="5">
        <v>1</v>
      </c>
      <c r="I18" s="5">
        <v>4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4</v>
      </c>
      <c r="R18" s="5">
        <v>3</v>
      </c>
      <c r="S18" s="5">
        <v>1</v>
      </c>
      <c r="T18" s="5">
        <v>1</v>
      </c>
      <c r="U18" s="5">
        <v>1</v>
      </c>
      <c r="V18" s="5">
        <v>1</v>
      </c>
      <c r="W18" s="5">
        <v>4</v>
      </c>
      <c r="X18" s="5">
        <v>1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4</v>
      </c>
      <c r="AE18" s="5">
        <v>3</v>
      </c>
      <c r="AF18" s="5">
        <v>1</v>
      </c>
      <c r="AG18" s="5">
        <v>1</v>
      </c>
      <c r="AH18" s="5">
        <v>1</v>
      </c>
      <c r="AI18" s="7">
        <f t="shared" si="10"/>
        <v>22</v>
      </c>
      <c r="AJ18" s="8">
        <f t="shared" si="11"/>
        <v>0</v>
      </c>
      <c r="AK18" s="9">
        <f t="shared" si="12"/>
        <v>5</v>
      </c>
      <c r="AL18" s="10">
        <f t="shared" si="13"/>
        <v>4</v>
      </c>
      <c r="AM18" s="11">
        <f t="shared" si="14"/>
        <v>0</v>
      </c>
    </row>
    <row r="19" spans="2:39" x14ac:dyDescent="0.35">
      <c r="B19" s="3" t="s">
        <v>51</v>
      </c>
      <c r="C19" s="4" t="s">
        <v>45</v>
      </c>
      <c r="D19" s="5">
        <v>2</v>
      </c>
      <c r="E19" s="5">
        <v>1</v>
      </c>
      <c r="F19" s="5">
        <v>1</v>
      </c>
      <c r="G19" s="5">
        <v>1</v>
      </c>
      <c r="H19" s="5">
        <v>1</v>
      </c>
      <c r="I19" s="5">
        <v>4</v>
      </c>
      <c r="J19" s="5">
        <v>1</v>
      </c>
      <c r="K19" s="5">
        <v>1</v>
      </c>
      <c r="L19" s="5">
        <v>1</v>
      </c>
      <c r="M19" s="5">
        <v>1</v>
      </c>
      <c r="N19" s="6">
        <v>1</v>
      </c>
      <c r="O19" s="5">
        <v>1</v>
      </c>
      <c r="P19" s="5">
        <v>4</v>
      </c>
      <c r="Q19" s="5">
        <v>1</v>
      </c>
      <c r="R19" s="5">
        <v>1</v>
      </c>
      <c r="S19" s="5">
        <v>1</v>
      </c>
      <c r="T19" s="5">
        <v>1</v>
      </c>
      <c r="U19" s="5">
        <v>2</v>
      </c>
      <c r="V19" s="5">
        <v>1</v>
      </c>
      <c r="W19" s="5">
        <v>4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4</v>
      </c>
      <c r="AE19" s="5">
        <v>1</v>
      </c>
      <c r="AF19" s="5">
        <v>1</v>
      </c>
      <c r="AG19" s="5">
        <v>1</v>
      </c>
      <c r="AH19" s="5">
        <v>1</v>
      </c>
      <c r="AI19" s="7">
        <f t="shared" si="10"/>
        <v>25</v>
      </c>
      <c r="AJ19" s="8">
        <f t="shared" si="11"/>
        <v>2</v>
      </c>
      <c r="AK19" s="9">
        <f t="shared" si="12"/>
        <v>0</v>
      </c>
      <c r="AL19" s="10">
        <f t="shared" si="13"/>
        <v>4</v>
      </c>
      <c r="AM19" s="11">
        <f t="shared" si="14"/>
        <v>0</v>
      </c>
    </row>
    <row r="20" spans="2:39" x14ac:dyDescent="0.35">
      <c r="B20" s="3" t="s">
        <v>35</v>
      </c>
      <c r="C20" s="4" t="s">
        <v>36</v>
      </c>
      <c r="D20" s="5">
        <v>2</v>
      </c>
      <c r="E20" s="5">
        <v>1</v>
      </c>
      <c r="F20" s="5">
        <v>3</v>
      </c>
      <c r="G20" s="5">
        <v>3</v>
      </c>
      <c r="H20" s="5">
        <v>1</v>
      </c>
      <c r="I20" s="5">
        <v>1</v>
      </c>
      <c r="J20" s="5">
        <v>4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4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4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4</v>
      </c>
      <c r="AE20" s="5">
        <v>1</v>
      </c>
      <c r="AF20" s="5">
        <v>1</v>
      </c>
      <c r="AG20" s="5">
        <v>1</v>
      </c>
      <c r="AH20" s="5">
        <v>1</v>
      </c>
      <c r="AI20" s="7">
        <f t="shared" si="10"/>
        <v>24</v>
      </c>
      <c r="AJ20" s="8">
        <f t="shared" si="11"/>
        <v>1</v>
      </c>
      <c r="AK20" s="9">
        <f t="shared" si="12"/>
        <v>2</v>
      </c>
      <c r="AL20" s="10">
        <f t="shared" si="13"/>
        <v>4</v>
      </c>
      <c r="AM20" s="11">
        <f t="shared" si="14"/>
        <v>0</v>
      </c>
    </row>
    <row r="21" spans="2:39" x14ac:dyDescent="0.35">
      <c r="B21" s="3" t="s">
        <v>37</v>
      </c>
      <c r="C21" s="4" t="s">
        <v>38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4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4</v>
      </c>
      <c r="Q21" s="5">
        <v>1</v>
      </c>
      <c r="R21" s="5">
        <v>1</v>
      </c>
      <c r="S21" s="5">
        <v>1</v>
      </c>
      <c r="T21" s="5">
        <v>1</v>
      </c>
      <c r="U21" s="5">
        <v>5</v>
      </c>
      <c r="V21" s="5">
        <v>5</v>
      </c>
      <c r="W21" s="5">
        <v>4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4</v>
      </c>
      <c r="AE21" s="5">
        <v>1</v>
      </c>
      <c r="AF21" s="5">
        <v>1</v>
      </c>
      <c r="AG21" s="5">
        <v>1</v>
      </c>
      <c r="AH21" s="5">
        <v>1</v>
      </c>
      <c r="AI21" s="7">
        <f t="shared" si="10"/>
        <v>25</v>
      </c>
      <c r="AJ21" s="8">
        <f t="shared" si="11"/>
        <v>0</v>
      </c>
      <c r="AK21" s="9">
        <f t="shared" si="12"/>
        <v>0</v>
      </c>
      <c r="AL21" s="10">
        <f t="shared" si="13"/>
        <v>4</v>
      </c>
      <c r="AM21" s="11">
        <f t="shared" si="14"/>
        <v>2</v>
      </c>
    </row>
    <row r="22" spans="2:39" x14ac:dyDescent="0.35">
      <c r="B22" s="3" t="s">
        <v>54</v>
      </c>
      <c r="C22" s="4"/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4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4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4</v>
      </c>
      <c r="AE22" s="5">
        <v>1</v>
      </c>
      <c r="AF22" s="5">
        <v>1</v>
      </c>
      <c r="AG22" s="5">
        <v>1</v>
      </c>
      <c r="AH22" s="5">
        <v>1</v>
      </c>
      <c r="AI22" s="7">
        <f>COUNTIF(D22:AH22,"1")</f>
        <v>28</v>
      </c>
      <c r="AJ22" s="8">
        <f>COUNTIF(D22:AH22,"2")</f>
        <v>0</v>
      </c>
      <c r="AK22" s="9">
        <f>COUNTIF(D22:AH22,"3")</f>
        <v>0</v>
      </c>
      <c r="AL22" s="10">
        <f>COUNTIF(D22:AH22,"4")</f>
        <v>3</v>
      </c>
      <c r="AM22" s="11">
        <f>COUNTIF(D22:AH22,"5")</f>
        <v>0</v>
      </c>
    </row>
    <row r="23" spans="2:39" x14ac:dyDescent="0.35">
      <c r="B23" s="3" t="s">
        <v>62</v>
      </c>
      <c r="C23" s="4" t="s">
        <v>60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</v>
      </c>
      <c r="T23" s="5">
        <v>1</v>
      </c>
      <c r="U23" s="5">
        <v>1</v>
      </c>
      <c r="V23" s="5">
        <v>1</v>
      </c>
      <c r="W23" s="5"/>
      <c r="X23" s="5"/>
      <c r="Y23" s="5"/>
      <c r="Z23" s="5"/>
      <c r="AA23" s="5" t="s">
        <v>61</v>
      </c>
      <c r="AB23" s="5"/>
      <c r="AC23" s="5"/>
      <c r="AD23" s="5"/>
      <c r="AE23" s="5"/>
      <c r="AF23" s="5"/>
      <c r="AG23" s="5"/>
      <c r="AH23" s="5"/>
      <c r="AI23" s="7">
        <f>COUNTIF(D23:AH23,"1")</f>
        <v>4</v>
      </c>
      <c r="AJ23" s="8">
        <f>COUNTIF(D23:AH23,"2")</f>
        <v>0</v>
      </c>
      <c r="AK23" s="9">
        <f>COUNTIF(D23:AH23,"3")</f>
        <v>0</v>
      </c>
      <c r="AL23" s="10">
        <f>COUNTIF(D23:AH23,"4")</f>
        <v>0</v>
      </c>
      <c r="AM23" s="11">
        <f>COUNTIF(D23:AH23,"5")</f>
        <v>0</v>
      </c>
    </row>
    <row r="24" spans="2:39" x14ac:dyDescent="0.35">
      <c r="B24" s="3" t="s">
        <v>63</v>
      </c>
      <c r="C24" s="4" t="s">
        <v>64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4</v>
      </c>
      <c r="AE24" s="5">
        <v>3</v>
      </c>
      <c r="AF24" s="5">
        <v>3</v>
      </c>
      <c r="AG24" s="5">
        <v>3</v>
      </c>
      <c r="AH24" s="5">
        <v>3</v>
      </c>
      <c r="AI24" s="7">
        <f t="shared" ref="AI24:AI26" si="15">COUNTIF(D24:AH24,"1")</f>
        <v>6</v>
      </c>
      <c r="AJ24" s="8">
        <f t="shared" ref="AJ24:AJ26" si="16">COUNTIF(D24:AH24,"2")</f>
        <v>0</v>
      </c>
      <c r="AK24" s="9">
        <f t="shared" ref="AK24:AK26" si="17">COUNTIF(D24:AH24,"3")</f>
        <v>4</v>
      </c>
      <c r="AL24" s="10">
        <f t="shared" ref="AL24:AL26" si="18">COUNTIF(D24:AH24,"4")</f>
        <v>1</v>
      </c>
      <c r="AM24" s="11">
        <f t="shared" ref="AM24:AM26" si="19">COUNTIF(D24:AH24,"5")</f>
        <v>0</v>
      </c>
    </row>
    <row r="25" spans="2:39" x14ac:dyDescent="0.35">
      <c r="B25" s="3" t="s">
        <v>39</v>
      </c>
      <c r="C25" s="4" t="s">
        <v>31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4</v>
      </c>
      <c r="J25" s="5">
        <v>1</v>
      </c>
      <c r="K25" s="5">
        <v>1</v>
      </c>
      <c r="L25" s="5">
        <v>1</v>
      </c>
      <c r="M25" s="5">
        <v>1</v>
      </c>
      <c r="N25" s="5">
        <v>3</v>
      </c>
      <c r="O25" s="5">
        <v>3</v>
      </c>
      <c r="P25" s="5">
        <v>4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7">
        <f t="shared" si="15"/>
        <v>9</v>
      </c>
      <c r="AJ25" s="8">
        <f t="shared" si="16"/>
        <v>0</v>
      </c>
      <c r="AK25" s="9">
        <f t="shared" si="17"/>
        <v>2</v>
      </c>
      <c r="AL25" s="10">
        <f t="shared" si="18"/>
        <v>2</v>
      </c>
      <c r="AM25" s="11">
        <f t="shared" si="19"/>
        <v>0</v>
      </c>
    </row>
    <row r="26" spans="2:39" x14ac:dyDescent="0.35">
      <c r="B26" s="4" t="s">
        <v>59</v>
      </c>
      <c r="C26" s="4" t="s">
        <v>31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4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4</v>
      </c>
      <c r="AE26" s="5">
        <v>1</v>
      </c>
      <c r="AF26" s="5">
        <v>1</v>
      </c>
      <c r="AG26" s="5">
        <v>1</v>
      </c>
      <c r="AH26" s="5">
        <v>1</v>
      </c>
      <c r="AI26" s="7">
        <f t="shared" si="15"/>
        <v>16</v>
      </c>
      <c r="AJ26" s="8">
        <f t="shared" si="16"/>
        <v>0</v>
      </c>
      <c r="AK26" s="9">
        <f t="shared" si="17"/>
        <v>0</v>
      </c>
      <c r="AL26" s="10">
        <f t="shared" si="18"/>
        <v>2</v>
      </c>
      <c r="AM26" s="11">
        <f t="shared" si="19"/>
        <v>0</v>
      </c>
    </row>
    <row r="27" spans="2:39" x14ac:dyDescent="0.35">
      <c r="B27" s="4" t="s">
        <v>42</v>
      </c>
      <c r="C27" s="4" t="s">
        <v>43</v>
      </c>
      <c r="D27" s="5">
        <v>2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7">
        <f t="shared" si="10"/>
        <v>9</v>
      </c>
      <c r="AJ27" s="8">
        <f t="shared" si="11"/>
        <v>1</v>
      </c>
      <c r="AK27" s="9">
        <f t="shared" si="12"/>
        <v>0</v>
      </c>
      <c r="AL27" s="10">
        <f t="shared" si="13"/>
        <v>1</v>
      </c>
      <c r="AM27" s="11">
        <f t="shared" si="14"/>
        <v>0</v>
      </c>
    </row>
    <row r="28" spans="2:39" x14ac:dyDescent="0.35">
      <c r="B28" s="3" t="s">
        <v>39</v>
      </c>
      <c r="C28" s="4" t="s">
        <v>43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4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4</v>
      </c>
      <c r="AC28" s="5">
        <v>1</v>
      </c>
      <c r="AD28" s="5">
        <v>1</v>
      </c>
      <c r="AE28" s="5">
        <v>1</v>
      </c>
      <c r="AF28" s="5">
        <v>1</v>
      </c>
      <c r="AG28" s="5">
        <v>1</v>
      </c>
      <c r="AH28" s="5">
        <v>4</v>
      </c>
      <c r="AI28" s="7">
        <f t="shared" si="10"/>
        <v>17</v>
      </c>
      <c r="AJ28" s="8">
        <f t="shared" si="11"/>
        <v>0</v>
      </c>
      <c r="AK28" s="9">
        <f t="shared" si="12"/>
        <v>0</v>
      </c>
      <c r="AL28" s="10">
        <f t="shared" si="13"/>
        <v>3</v>
      </c>
      <c r="AM28" s="11">
        <f t="shared" si="14"/>
        <v>0</v>
      </c>
    </row>
    <row r="29" spans="2:39" x14ac:dyDescent="0.35">
      <c r="B29" s="4" t="s">
        <v>46</v>
      </c>
      <c r="C29" s="4" t="s">
        <v>52</v>
      </c>
      <c r="D29" s="5">
        <v>2</v>
      </c>
      <c r="E29" s="5">
        <v>5</v>
      </c>
      <c r="F29" s="5">
        <v>5</v>
      </c>
      <c r="G29" s="5">
        <v>5</v>
      </c>
      <c r="H29" s="5">
        <v>5</v>
      </c>
      <c r="I29" s="5">
        <v>5</v>
      </c>
      <c r="J29" s="5">
        <v>5</v>
      </c>
      <c r="K29" s="5">
        <v>1</v>
      </c>
      <c r="L29" s="5">
        <v>3</v>
      </c>
      <c r="M29" s="5">
        <v>3</v>
      </c>
      <c r="N29" s="5">
        <v>3</v>
      </c>
      <c r="O29" s="5">
        <v>3</v>
      </c>
      <c r="P29" s="5">
        <v>3</v>
      </c>
      <c r="Q29" s="5">
        <v>3</v>
      </c>
      <c r="R29" s="5">
        <v>3</v>
      </c>
      <c r="S29" s="5">
        <v>3</v>
      </c>
      <c r="T29" s="5">
        <v>3</v>
      </c>
      <c r="U29" s="5">
        <v>4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4</v>
      </c>
      <c r="AC29" s="5">
        <v>1</v>
      </c>
      <c r="AD29" s="5">
        <v>1</v>
      </c>
      <c r="AE29" s="5">
        <v>1</v>
      </c>
      <c r="AF29" s="5">
        <v>3</v>
      </c>
      <c r="AG29" s="5">
        <v>3</v>
      </c>
      <c r="AH29" s="5">
        <v>3</v>
      </c>
      <c r="AI29" s="7">
        <f t="shared" si="10"/>
        <v>10</v>
      </c>
      <c r="AJ29" s="8">
        <f t="shared" si="11"/>
        <v>1</v>
      </c>
      <c r="AK29" s="9">
        <f t="shared" si="12"/>
        <v>12</v>
      </c>
      <c r="AL29" s="10">
        <f t="shared" si="13"/>
        <v>2</v>
      </c>
      <c r="AM29" s="11">
        <f t="shared" si="14"/>
        <v>6</v>
      </c>
    </row>
    <row r="30" spans="2:39" x14ac:dyDescent="0.35">
      <c r="B30" s="4" t="s">
        <v>34</v>
      </c>
      <c r="C30" s="4" t="s">
        <v>40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4</v>
      </c>
      <c r="M30" s="5">
        <v>1</v>
      </c>
      <c r="N30" s="5">
        <v>4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4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4</v>
      </c>
      <c r="AC30" s="5">
        <v>1</v>
      </c>
      <c r="AD30" s="5">
        <v>1</v>
      </c>
      <c r="AE30" s="6">
        <v>1</v>
      </c>
      <c r="AF30" s="5">
        <v>1</v>
      </c>
      <c r="AG30" s="5">
        <v>1</v>
      </c>
      <c r="AH30" s="5">
        <v>4</v>
      </c>
      <c r="AI30" s="7">
        <f t="shared" si="0"/>
        <v>26</v>
      </c>
      <c r="AJ30" s="8">
        <f t="shared" si="1"/>
        <v>0</v>
      </c>
      <c r="AK30" s="9">
        <f t="shared" si="2"/>
        <v>0</v>
      </c>
      <c r="AL30" s="10">
        <f t="shared" si="3"/>
        <v>5</v>
      </c>
      <c r="AM30" s="11">
        <f t="shared" si="4"/>
        <v>0</v>
      </c>
    </row>
    <row r="31" spans="2:39" x14ac:dyDescent="0.35">
      <c r="B31" s="4" t="s">
        <v>34</v>
      </c>
      <c r="C31" s="4" t="s">
        <v>41</v>
      </c>
      <c r="D31" s="5">
        <v>2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4</v>
      </c>
      <c r="M31" s="5">
        <v>1</v>
      </c>
      <c r="N31" s="5">
        <v>4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4</v>
      </c>
      <c r="V31" s="5">
        <v>1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4</v>
      </c>
      <c r="AC31" s="5">
        <v>1</v>
      </c>
      <c r="AD31" s="5">
        <v>1</v>
      </c>
      <c r="AE31" s="5">
        <v>1</v>
      </c>
      <c r="AF31" s="5">
        <v>1</v>
      </c>
      <c r="AG31" s="5">
        <v>1</v>
      </c>
      <c r="AH31" s="5">
        <v>4</v>
      </c>
      <c r="AI31" s="7">
        <f t="shared" si="0"/>
        <v>25</v>
      </c>
      <c r="AJ31" s="8">
        <f t="shared" si="1"/>
        <v>1</v>
      </c>
      <c r="AK31" s="9">
        <f t="shared" si="2"/>
        <v>0</v>
      </c>
      <c r="AL31" s="10">
        <f t="shared" si="3"/>
        <v>5</v>
      </c>
      <c r="AM31" s="11">
        <f t="shared" si="4"/>
        <v>0</v>
      </c>
    </row>
  </sheetData>
  <mergeCells count="8">
    <mergeCell ref="B1:AM1"/>
    <mergeCell ref="B2:B3"/>
    <mergeCell ref="C2:C3"/>
    <mergeCell ref="AI2:AI3"/>
    <mergeCell ref="AJ2:AJ3"/>
    <mergeCell ref="AK2:AK3"/>
    <mergeCell ref="AL2:AL3"/>
    <mergeCell ref="AM2:AM3"/>
  </mergeCells>
  <phoneticPr fontId="5" type="noConversion"/>
  <conditionalFormatting sqref="D4:AH31">
    <cfRule type="cellIs" dxfId="44" priority="1" operator="equal">
      <formula>1</formula>
    </cfRule>
    <cfRule type="cellIs" dxfId="43" priority="2" operator="equal">
      <formula>2</formula>
    </cfRule>
    <cfRule type="cellIs" dxfId="42" priority="3" operator="equal">
      <formula>3</formula>
    </cfRule>
    <cfRule type="cellIs" dxfId="41" priority="4" operator="equal">
      <formula>4</formula>
    </cfRule>
    <cfRule type="cellIs" dxfId="40" priority="5" operator="equal">
      <formula>5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43A6-1CAB-4ACF-BB60-C2A088C728E3}">
  <dimension ref="A1:AI37"/>
  <sheetViews>
    <sheetView topLeftCell="B1" zoomScale="59" zoomScaleNormal="59" workbookViewId="0">
      <selection activeCell="A20" sqref="A20"/>
    </sheetView>
  </sheetViews>
  <sheetFormatPr baseColWidth="10" defaultRowHeight="14.5" x14ac:dyDescent="0.35"/>
  <cols>
    <col min="1" max="1" width="48.7265625" customWidth="1"/>
    <col min="2" max="2" width="59.81640625" bestFit="1" customWidth="1"/>
    <col min="3" max="30" width="7.26953125" customWidth="1"/>
  </cols>
  <sheetData>
    <row r="1" spans="1:35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35" x14ac:dyDescent="0.35">
      <c r="A2" s="23" t="s">
        <v>0</v>
      </c>
      <c r="B2" s="23" t="s">
        <v>1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 t="s">
        <v>8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21" t="s">
        <v>2</v>
      </c>
      <c r="AF2" s="21" t="s">
        <v>78</v>
      </c>
      <c r="AG2" s="21" t="s">
        <v>79</v>
      </c>
      <c r="AH2" s="21" t="s">
        <v>81</v>
      </c>
      <c r="AI2" s="21" t="s">
        <v>80</v>
      </c>
    </row>
    <row r="3" spans="1:35" x14ac:dyDescent="0.35">
      <c r="A3" s="24"/>
      <c r="B3" s="24"/>
      <c r="C3" s="2" t="s">
        <v>9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  <c r="P3" s="2" t="s">
        <v>8</v>
      </c>
      <c r="Q3" s="2" t="s">
        <v>9</v>
      </c>
      <c r="R3" s="2" t="s">
        <v>3</v>
      </c>
      <c r="S3" s="2" t="s">
        <v>4</v>
      </c>
      <c r="T3" s="2" t="s">
        <v>5</v>
      </c>
      <c r="U3" s="2" t="s">
        <v>6</v>
      </c>
      <c r="V3" s="2" t="s">
        <v>7</v>
      </c>
      <c r="W3" s="2" t="s">
        <v>8</v>
      </c>
      <c r="X3" s="2" t="s">
        <v>9</v>
      </c>
      <c r="Y3" s="2" t="s">
        <v>3</v>
      </c>
      <c r="Z3" s="2" t="s">
        <v>4</v>
      </c>
      <c r="AA3" s="2" t="s">
        <v>5</v>
      </c>
      <c r="AB3" s="2" t="s">
        <v>6</v>
      </c>
      <c r="AC3" s="2" t="s">
        <v>7</v>
      </c>
      <c r="AD3" s="2" t="s">
        <v>8</v>
      </c>
      <c r="AE3" s="22"/>
      <c r="AF3" s="22"/>
      <c r="AG3" s="22"/>
      <c r="AH3" s="22"/>
      <c r="AI3" s="22"/>
    </row>
    <row r="4" spans="1:35" x14ac:dyDescent="0.35">
      <c r="A4" s="3" t="s">
        <v>10</v>
      </c>
      <c r="B4" s="4" t="s">
        <v>11</v>
      </c>
      <c r="C4" s="5">
        <v>1</v>
      </c>
      <c r="D4" s="5">
        <v>1</v>
      </c>
      <c r="E4" s="5">
        <v>1</v>
      </c>
      <c r="F4" s="5">
        <v>1</v>
      </c>
      <c r="G4" s="5">
        <v>4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4</v>
      </c>
      <c r="R4" s="5">
        <v>1</v>
      </c>
      <c r="S4" s="5">
        <v>1</v>
      </c>
      <c r="T4" s="5">
        <v>1</v>
      </c>
      <c r="U4" s="5">
        <v>4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4</v>
      </c>
      <c r="AB4" s="5">
        <v>1</v>
      </c>
      <c r="AC4" s="5">
        <v>1</v>
      </c>
      <c r="AD4" s="6">
        <v>1</v>
      </c>
      <c r="AE4" s="7">
        <f>COUNTIF(C4:AD4,"1")</f>
        <v>24</v>
      </c>
      <c r="AF4" s="8">
        <v>0</v>
      </c>
      <c r="AG4" s="9">
        <v>0</v>
      </c>
      <c r="AH4" s="10">
        <v>4</v>
      </c>
      <c r="AI4" s="11">
        <v>0</v>
      </c>
    </row>
    <row r="5" spans="1:35" x14ac:dyDescent="0.35">
      <c r="A5" s="3" t="s">
        <v>12</v>
      </c>
      <c r="B5" s="4" t="s">
        <v>70</v>
      </c>
      <c r="C5" s="5">
        <v>1</v>
      </c>
      <c r="D5" s="5">
        <v>1</v>
      </c>
      <c r="E5" s="5">
        <v>4</v>
      </c>
      <c r="F5" s="5">
        <v>5</v>
      </c>
      <c r="G5" s="5">
        <v>5</v>
      </c>
      <c r="H5" s="5">
        <v>1</v>
      </c>
      <c r="I5" s="5">
        <v>1</v>
      </c>
      <c r="J5" s="5">
        <v>1</v>
      </c>
      <c r="K5" s="5">
        <v>1</v>
      </c>
      <c r="L5" s="5">
        <v>4</v>
      </c>
      <c r="M5" s="6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4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4</v>
      </c>
      <c r="AA5" s="5">
        <v>1</v>
      </c>
      <c r="AB5" s="5">
        <v>1</v>
      </c>
      <c r="AC5" s="5">
        <v>1</v>
      </c>
      <c r="AD5" s="5">
        <v>1</v>
      </c>
      <c r="AE5" s="7">
        <f t="shared" ref="AE5:AE36" si="0">COUNTIF(C5:AD5,"1")</f>
        <v>22</v>
      </c>
      <c r="AF5" s="8">
        <f t="shared" ref="AF5:AF36" si="1">COUNTIF(C5:AD5,"2")</f>
        <v>0</v>
      </c>
      <c r="AG5" s="9">
        <f t="shared" ref="AG5:AG36" si="2">COUNTIF(C5:AD5,"3")</f>
        <v>0</v>
      </c>
      <c r="AH5" s="10">
        <f t="shared" ref="AH5:AH36" si="3">COUNTIF(C5:AD5,"4")</f>
        <v>4</v>
      </c>
      <c r="AI5" s="11">
        <f t="shared" ref="AI5:AI36" si="4">COUNTIF(C5:AD5,"5")</f>
        <v>2</v>
      </c>
    </row>
    <row r="6" spans="1:35" x14ac:dyDescent="0.35">
      <c r="A6" s="3" t="s">
        <v>15</v>
      </c>
      <c r="B6" s="4" t="s">
        <v>14</v>
      </c>
      <c r="C6" s="5">
        <v>1</v>
      </c>
      <c r="D6" s="5">
        <v>1</v>
      </c>
      <c r="E6" s="5">
        <v>4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4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4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4</v>
      </c>
      <c r="AA6" s="5">
        <v>1</v>
      </c>
      <c r="AB6" s="5">
        <v>1</v>
      </c>
      <c r="AC6" s="5">
        <v>1</v>
      </c>
      <c r="AD6" s="5">
        <v>1</v>
      </c>
      <c r="AE6" s="7">
        <f>COUNTIF(C6:AD6,"1")</f>
        <v>24</v>
      </c>
      <c r="AF6" s="8">
        <f>COUNTIF(C6:AD6,"2")</f>
        <v>0</v>
      </c>
      <c r="AG6" s="9">
        <f>COUNTIF(C6:AD6,"3")</f>
        <v>0</v>
      </c>
      <c r="AH6" s="10">
        <f>COUNTIF(C6:AD6,"4")</f>
        <v>4</v>
      </c>
      <c r="AI6" s="11">
        <f>COUNTIF(C6:AD6,"5")</f>
        <v>0</v>
      </c>
    </row>
    <row r="7" spans="1:35" x14ac:dyDescent="0.35">
      <c r="A7" s="3" t="s">
        <v>16</v>
      </c>
      <c r="B7" s="4" t="s">
        <v>17</v>
      </c>
      <c r="C7" s="5">
        <v>1</v>
      </c>
      <c r="D7" s="5">
        <v>1</v>
      </c>
      <c r="E7" s="5">
        <v>4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4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4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4</v>
      </c>
      <c r="AA7" s="5">
        <v>1</v>
      </c>
      <c r="AB7" s="5">
        <v>1</v>
      </c>
      <c r="AC7" s="6">
        <v>1</v>
      </c>
      <c r="AD7" s="6">
        <v>1</v>
      </c>
      <c r="AE7" s="7">
        <f>COUNTIF(C7:AD7,"1")</f>
        <v>24</v>
      </c>
      <c r="AF7" s="8">
        <f>COUNTIF(C7:AD7,"2")</f>
        <v>0</v>
      </c>
      <c r="AG7" s="9">
        <f>COUNTIF(C7:AD7,"3")</f>
        <v>0</v>
      </c>
      <c r="AH7" s="10">
        <f>COUNTIF(C7:AD7,"4")</f>
        <v>4</v>
      </c>
      <c r="AI7" s="11">
        <f>COUNTIF(C7:AD7,"5")</f>
        <v>0</v>
      </c>
    </row>
    <row r="8" spans="1:35" x14ac:dyDescent="0.35">
      <c r="A8" s="3" t="s">
        <v>82</v>
      </c>
      <c r="B8" s="4" t="s">
        <v>83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1</v>
      </c>
      <c r="O8" s="5">
        <v>1</v>
      </c>
      <c r="P8" s="5">
        <v>4</v>
      </c>
      <c r="Q8" s="5">
        <v>1</v>
      </c>
      <c r="R8" s="5">
        <v>1</v>
      </c>
      <c r="S8" s="5">
        <v>1</v>
      </c>
      <c r="T8" s="5">
        <v>1</v>
      </c>
      <c r="U8" s="5">
        <v>4</v>
      </c>
      <c r="V8" s="5">
        <v>1</v>
      </c>
      <c r="W8" s="5">
        <v>1</v>
      </c>
      <c r="X8" s="5">
        <v>1</v>
      </c>
      <c r="Y8" s="5">
        <v>1</v>
      </c>
      <c r="Z8" s="5">
        <v>4</v>
      </c>
      <c r="AA8" s="5">
        <v>1</v>
      </c>
      <c r="AB8" s="5">
        <v>1</v>
      </c>
      <c r="AC8" s="5">
        <v>1</v>
      </c>
      <c r="AD8" s="6">
        <v>1</v>
      </c>
      <c r="AE8" s="7">
        <f t="shared" ref="AE8:AE25" si="5">COUNTIF(C8:AD8,"1")</f>
        <v>14</v>
      </c>
      <c r="AF8" s="8">
        <f t="shared" ref="AF8:AF25" si="6">COUNTIF(C8:AD8,"2")</f>
        <v>0</v>
      </c>
      <c r="AG8" s="9">
        <f t="shared" ref="AG8:AG25" si="7">COUNTIF(C8:AD8,"3")</f>
        <v>0</v>
      </c>
      <c r="AH8" s="10">
        <f t="shared" ref="AH8:AH25" si="8">COUNTIF(C8:AD8,"4")</f>
        <v>3</v>
      </c>
      <c r="AI8" s="11">
        <f t="shared" ref="AI8:AI25" si="9">COUNTIF(C8:AD8,"5")</f>
        <v>0</v>
      </c>
    </row>
    <row r="9" spans="1:35" x14ac:dyDescent="0.35">
      <c r="A9" s="3" t="s">
        <v>74</v>
      </c>
      <c r="B9" s="4" t="s">
        <v>19</v>
      </c>
      <c r="C9" s="5">
        <v>1</v>
      </c>
      <c r="D9" s="5">
        <v>1</v>
      </c>
      <c r="E9" s="5">
        <v>4</v>
      </c>
      <c r="F9" s="5">
        <v>1</v>
      </c>
      <c r="G9" s="5">
        <v>1</v>
      </c>
      <c r="H9" s="5">
        <v>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7">
        <f t="shared" si="5"/>
        <v>5</v>
      </c>
      <c r="AF9" s="8">
        <f t="shared" si="6"/>
        <v>0</v>
      </c>
      <c r="AG9" s="9">
        <f t="shared" si="7"/>
        <v>0</v>
      </c>
      <c r="AH9" s="10">
        <f t="shared" si="8"/>
        <v>1</v>
      </c>
      <c r="AI9" s="11">
        <f t="shared" si="9"/>
        <v>0</v>
      </c>
    </row>
    <row r="10" spans="1:35" x14ac:dyDescent="0.35">
      <c r="A10" s="3" t="s">
        <v>71</v>
      </c>
      <c r="B10" s="4" t="s">
        <v>66</v>
      </c>
      <c r="C10" s="5"/>
      <c r="D10" s="5">
        <v>1</v>
      </c>
      <c r="E10" s="5">
        <v>1</v>
      </c>
      <c r="F10" s="5">
        <v>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7">
        <f t="shared" si="5"/>
        <v>3</v>
      </c>
      <c r="AF10" s="8">
        <f t="shared" si="6"/>
        <v>0</v>
      </c>
      <c r="AG10" s="9">
        <f t="shared" si="7"/>
        <v>0</v>
      </c>
      <c r="AH10" s="10">
        <f t="shared" si="8"/>
        <v>0</v>
      </c>
      <c r="AI10" s="11">
        <f t="shared" si="9"/>
        <v>0</v>
      </c>
    </row>
    <row r="11" spans="1:35" x14ac:dyDescent="0.35">
      <c r="A11" s="3" t="s">
        <v>87</v>
      </c>
      <c r="B11" s="4" t="s">
        <v>92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3</v>
      </c>
      <c r="Y11" s="5">
        <v>3</v>
      </c>
      <c r="Z11" s="5">
        <v>4</v>
      </c>
      <c r="AA11" s="5">
        <v>1</v>
      </c>
      <c r="AB11" s="5">
        <v>1</v>
      </c>
      <c r="AC11" s="5">
        <v>1</v>
      </c>
      <c r="AD11" s="5">
        <v>1</v>
      </c>
      <c r="AE11" s="7">
        <f t="shared" si="5"/>
        <v>10</v>
      </c>
      <c r="AF11" s="8">
        <f t="shared" si="6"/>
        <v>0</v>
      </c>
      <c r="AG11" s="9">
        <f t="shared" si="7"/>
        <v>2</v>
      </c>
      <c r="AH11" s="10">
        <f t="shared" si="8"/>
        <v>1</v>
      </c>
      <c r="AI11" s="11">
        <f t="shared" si="9"/>
        <v>0</v>
      </c>
    </row>
    <row r="12" spans="1:35" x14ac:dyDescent="0.35">
      <c r="A12" s="3" t="s">
        <v>20</v>
      </c>
      <c r="B12" s="4" t="s">
        <v>88</v>
      </c>
      <c r="C12" s="5">
        <v>1</v>
      </c>
      <c r="D12" s="5">
        <v>1</v>
      </c>
      <c r="E12" s="5">
        <v>4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4</v>
      </c>
      <c r="M12" s="5">
        <v>1</v>
      </c>
      <c r="N12" s="5">
        <v>1</v>
      </c>
      <c r="O12" s="5">
        <v>1</v>
      </c>
      <c r="P12" s="5">
        <v>1</v>
      </c>
      <c r="Q12" s="5">
        <v>2</v>
      </c>
      <c r="R12" s="5">
        <v>1</v>
      </c>
      <c r="S12" s="5">
        <v>4</v>
      </c>
      <c r="T12" s="5">
        <v>1</v>
      </c>
      <c r="U12" s="5">
        <v>1</v>
      </c>
      <c r="V12" s="5">
        <v>1</v>
      </c>
      <c r="W12" s="5"/>
      <c r="X12" s="5"/>
      <c r="Y12" s="5"/>
      <c r="Z12" s="5"/>
      <c r="AA12" s="5"/>
      <c r="AB12" s="5"/>
      <c r="AC12" s="5"/>
      <c r="AD12" s="5"/>
      <c r="AE12" s="7">
        <f t="shared" si="5"/>
        <v>16</v>
      </c>
      <c r="AF12" s="8">
        <f t="shared" si="6"/>
        <v>1</v>
      </c>
      <c r="AG12" s="9">
        <f t="shared" si="7"/>
        <v>0</v>
      </c>
      <c r="AH12" s="10">
        <f t="shared" si="8"/>
        <v>3</v>
      </c>
      <c r="AI12" s="11">
        <f t="shared" si="9"/>
        <v>0</v>
      </c>
    </row>
    <row r="13" spans="1:35" x14ac:dyDescent="0.35">
      <c r="A13" s="3" t="s">
        <v>21</v>
      </c>
      <c r="B13" s="4" t="s">
        <v>22</v>
      </c>
      <c r="C13" s="5">
        <v>1</v>
      </c>
      <c r="D13" s="5">
        <v>1</v>
      </c>
      <c r="E13" s="5">
        <v>4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4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5">
        <v>1</v>
      </c>
      <c r="S13" s="5">
        <v>4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4</v>
      </c>
      <c r="AA13" s="5">
        <v>1</v>
      </c>
      <c r="AB13" s="5">
        <v>1</v>
      </c>
      <c r="AC13" s="5">
        <v>1</v>
      </c>
      <c r="AD13" s="5">
        <v>2</v>
      </c>
      <c r="AE13" s="7">
        <f t="shared" si="5"/>
        <v>23</v>
      </c>
      <c r="AF13" s="8">
        <f t="shared" si="6"/>
        <v>1</v>
      </c>
      <c r="AG13" s="9">
        <f t="shared" si="7"/>
        <v>0</v>
      </c>
      <c r="AH13" s="10">
        <f t="shared" si="8"/>
        <v>4</v>
      </c>
      <c r="AI13" s="11">
        <f t="shared" si="9"/>
        <v>0</v>
      </c>
    </row>
    <row r="14" spans="1:35" x14ac:dyDescent="0.35">
      <c r="A14" s="3" t="s">
        <v>23</v>
      </c>
      <c r="B14" s="4" t="s">
        <v>44</v>
      </c>
      <c r="C14" s="5">
        <v>2</v>
      </c>
      <c r="D14" s="5">
        <v>1</v>
      </c>
      <c r="E14" s="5">
        <v>4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4</v>
      </c>
      <c r="M14" s="5">
        <v>1</v>
      </c>
      <c r="N14" s="6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4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4</v>
      </c>
      <c r="AA14" s="5">
        <v>1</v>
      </c>
      <c r="AB14" s="5">
        <v>1</v>
      </c>
      <c r="AC14" s="5">
        <v>2</v>
      </c>
      <c r="AD14" s="5">
        <v>1</v>
      </c>
      <c r="AE14" s="7">
        <f t="shared" ref="AE14" si="10">COUNTIF(C14:AD14,"1")</f>
        <v>22</v>
      </c>
      <c r="AF14" s="8">
        <f t="shared" ref="AF14" si="11">COUNTIF(C14:AD14,"2")</f>
        <v>2</v>
      </c>
      <c r="AG14" s="9">
        <f t="shared" ref="AG14" si="12">COUNTIF(C14:AD14,"3")</f>
        <v>0</v>
      </c>
      <c r="AH14" s="10">
        <f t="shared" ref="AH14" si="13">COUNTIF(C14:AD14,"4")</f>
        <v>4</v>
      </c>
      <c r="AI14" s="11">
        <f t="shared" ref="AI14" si="14">COUNTIF(C14:AD14,"5")</f>
        <v>0</v>
      </c>
    </row>
    <row r="15" spans="1:35" x14ac:dyDescent="0.35">
      <c r="A15" s="3" t="s">
        <v>24</v>
      </c>
      <c r="B15" s="4" t="s">
        <v>25</v>
      </c>
      <c r="C15" s="5">
        <v>1</v>
      </c>
      <c r="D15" s="5">
        <v>1</v>
      </c>
      <c r="E15" s="5">
        <v>4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4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4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1</v>
      </c>
      <c r="Z15" s="5">
        <v>4</v>
      </c>
      <c r="AA15" s="5">
        <v>1</v>
      </c>
      <c r="AB15" s="5">
        <v>1</v>
      </c>
      <c r="AC15" s="5">
        <v>1</v>
      </c>
      <c r="AD15" s="5">
        <v>1</v>
      </c>
      <c r="AE15" s="7">
        <f t="shared" si="5"/>
        <v>24</v>
      </c>
      <c r="AF15" s="8">
        <f t="shared" si="6"/>
        <v>0</v>
      </c>
      <c r="AG15" s="9">
        <f t="shared" si="7"/>
        <v>0</v>
      </c>
      <c r="AH15" s="10">
        <f t="shared" si="8"/>
        <v>4</v>
      </c>
      <c r="AI15" s="11">
        <f t="shared" si="9"/>
        <v>0</v>
      </c>
    </row>
    <row r="16" spans="1:35" x14ac:dyDescent="0.35">
      <c r="A16" s="3" t="s">
        <v>26</v>
      </c>
      <c r="B16" s="4" t="s">
        <v>27</v>
      </c>
      <c r="C16" s="5">
        <v>1</v>
      </c>
      <c r="D16" s="5">
        <v>1</v>
      </c>
      <c r="E16" s="5">
        <v>4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4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4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4</v>
      </c>
      <c r="AA16" s="5">
        <v>1</v>
      </c>
      <c r="AB16" s="6">
        <v>1</v>
      </c>
      <c r="AC16" s="5">
        <v>1</v>
      </c>
      <c r="AD16" s="5">
        <v>1</v>
      </c>
      <c r="AE16" s="7">
        <f t="shared" si="5"/>
        <v>24</v>
      </c>
      <c r="AF16" s="8">
        <f t="shared" si="6"/>
        <v>0</v>
      </c>
      <c r="AG16" s="9">
        <f t="shared" si="7"/>
        <v>0</v>
      </c>
      <c r="AH16" s="10">
        <f t="shared" si="8"/>
        <v>4</v>
      </c>
      <c r="AI16" s="11">
        <f t="shared" si="9"/>
        <v>0</v>
      </c>
    </row>
    <row r="17" spans="1:35" x14ac:dyDescent="0.35">
      <c r="A17" s="3" t="s">
        <v>85</v>
      </c>
      <c r="B17" s="4" t="s">
        <v>29</v>
      </c>
      <c r="C17" s="5">
        <v>1</v>
      </c>
      <c r="D17" s="5">
        <v>1</v>
      </c>
      <c r="E17" s="5">
        <v>4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4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7">
        <f t="shared" si="5"/>
        <v>13</v>
      </c>
      <c r="AF17" s="8">
        <f t="shared" si="6"/>
        <v>0</v>
      </c>
      <c r="AG17" s="9">
        <f t="shared" si="7"/>
        <v>0</v>
      </c>
      <c r="AH17" s="10">
        <f t="shared" si="8"/>
        <v>2</v>
      </c>
      <c r="AI17" s="11">
        <f t="shared" si="9"/>
        <v>0</v>
      </c>
    </row>
    <row r="18" spans="1:35" x14ac:dyDescent="0.35">
      <c r="A18" s="3" t="s">
        <v>13</v>
      </c>
      <c r="B18" s="4" t="s">
        <v>30</v>
      </c>
      <c r="C18" s="5">
        <v>1</v>
      </c>
      <c r="D18" s="5">
        <v>1</v>
      </c>
      <c r="E18" s="5">
        <v>4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4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4</v>
      </c>
      <c r="AA18" s="5">
        <v>1</v>
      </c>
      <c r="AB18" s="5">
        <v>1</v>
      </c>
      <c r="AC18" s="5">
        <v>1</v>
      </c>
      <c r="AD18" s="5">
        <v>1</v>
      </c>
      <c r="AE18" s="7">
        <f t="shared" si="5"/>
        <v>25</v>
      </c>
      <c r="AF18" s="8">
        <f t="shared" si="6"/>
        <v>0</v>
      </c>
      <c r="AG18" s="9">
        <f t="shared" si="7"/>
        <v>0</v>
      </c>
      <c r="AH18" s="10">
        <f t="shared" si="8"/>
        <v>3</v>
      </c>
      <c r="AI18" s="11">
        <f t="shared" si="9"/>
        <v>0</v>
      </c>
    </row>
    <row r="19" spans="1:35" x14ac:dyDescent="0.35">
      <c r="A19" s="3" t="s">
        <v>39</v>
      </c>
      <c r="B19" s="4" t="s">
        <v>43</v>
      </c>
      <c r="C19" s="5">
        <v>4</v>
      </c>
      <c r="D19" s="5">
        <v>1</v>
      </c>
      <c r="E19" s="5">
        <v>4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4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4</v>
      </c>
      <c r="T19" s="5">
        <v>1</v>
      </c>
      <c r="U19" s="5">
        <v>1</v>
      </c>
      <c r="V19" s="5">
        <v>1</v>
      </c>
      <c r="W19" s="5">
        <v>1</v>
      </c>
      <c r="X19" s="5">
        <v>4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5">
        <v>1</v>
      </c>
      <c r="AE19" s="7">
        <f t="shared" si="5"/>
        <v>23</v>
      </c>
      <c r="AF19" s="8">
        <f t="shared" si="6"/>
        <v>0</v>
      </c>
      <c r="AG19" s="9">
        <f t="shared" si="7"/>
        <v>0</v>
      </c>
      <c r="AH19" s="10">
        <f t="shared" si="8"/>
        <v>5</v>
      </c>
      <c r="AI19" s="11">
        <f t="shared" si="9"/>
        <v>0</v>
      </c>
    </row>
    <row r="20" spans="1:35" x14ac:dyDescent="0.35">
      <c r="A20" s="3" t="s">
        <v>65</v>
      </c>
      <c r="B20" s="4" t="s">
        <v>68</v>
      </c>
      <c r="C20" s="5">
        <v>1</v>
      </c>
      <c r="D20" s="5">
        <v>1</v>
      </c>
      <c r="E20" s="5">
        <v>4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4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3</v>
      </c>
      <c r="W20" s="5">
        <v>1</v>
      </c>
      <c r="X20" s="5">
        <v>1</v>
      </c>
      <c r="Y20" s="5">
        <v>1</v>
      </c>
      <c r="Z20" s="5">
        <v>4</v>
      </c>
      <c r="AA20" s="5">
        <v>1</v>
      </c>
      <c r="AB20" s="5">
        <v>1</v>
      </c>
      <c r="AC20" s="5">
        <v>1</v>
      </c>
      <c r="AD20" s="5">
        <v>1</v>
      </c>
      <c r="AE20" s="7">
        <f t="shared" si="5"/>
        <v>24</v>
      </c>
      <c r="AF20" s="8">
        <f t="shared" si="6"/>
        <v>0</v>
      </c>
      <c r="AG20" s="9">
        <f t="shared" si="7"/>
        <v>1</v>
      </c>
      <c r="AH20" s="10">
        <f t="shared" si="8"/>
        <v>3</v>
      </c>
      <c r="AI20" s="11">
        <f t="shared" si="9"/>
        <v>0</v>
      </c>
    </row>
    <row r="21" spans="1:35" x14ac:dyDescent="0.35">
      <c r="A21" s="3" t="s">
        <v>32</v>
      </c>
      <c r="B21" s="4" t="s">
        <v>33</v>
      </c>
      <c r="C21" s="5">
        <v>1</v>
      </c>
      <c r="D21" s="5">
        <v>1</v>
      </c>
      <c r="E21" s="5">
        <v>4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4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4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4</v>
      </c>
      <c r="AA21" s="5">
        <v>1</v>
      </c>
      <c r="AB21" s="5">
        <v>1</v>
      </c>
      <c r="AC21" s="5">
        <v>1</v>
      </c>
      <c r="AD21" s="5">
        <v>1</v>
      </c>
      <c r="AE21" s="7">
        <f t="shared" si="5"/>
        <v>24</v>
      </c>
      <c r="AF21" s="8">
        <f t="shared" si="6"/>
        <v>0</v>
      </c>
      <c r="AG21" s="9">
        <f t="shared" si="7"/>
        <v>0</v>
      </c>
      <c r="AH21" s="10">
        <f t="shared" si="8"/>
        <v>4</v>
      </c>
      <c r="AI21" s="11">
        <f t="shared" si="9"/>
        <v>0</v>
      </c>
    </row>
    <row r="22" spans="1:35" x14ac:dyDescent="0.35">
      <c r="A22" s="3" t="s">
        <v>77</v>
      </c>
      <c r="B22" s="4" t="s">
        <v>67</v>
      </c>
      <c r="C22" s="5"/>
      <c r="D22" s="5"/>
      <c r="E22" s="5"/>
      <c r="F22" s="5"/>
      <c r="G22" s="5"/>
      <c r="H22" s="5">
        <v>1</v>
      </c>
      <c r="I22" s="5">
        <v>1</v>
      </c>
      <c r="J22" s="5">
        <v>1</v>
      </c>
      <c r="K22" s="5">
        <v>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7">
        <f t="shared" si="5"/>
        <v>4</v>
      </c>
      <c r="AF22" s="8">
        <f t="shared" si="6"/>
        <v>0</v>
      </c>
      <c r="AG22" s="9">
        <f t="shared" si="7"/>
        <v>0</v>
      </c>
      <c r="AH22" s="10">
        <f t="shared" si="8"/>
        <v>0</v>
      </c>
      <c r="AI22" s="11">
        <f t="shared" si="9"/>
        <v>0</v>
      </c>
    </row>
    <row r="23" spans="1:35" x14ac:dyDescent="0.35">
      <c r="A23" s="3" t="s">
        <v>94</v>
      </c>
      <c r="B23" s="4" t="s">
        <v>50</v>
      </c>
      <c r="C23" s="5">
        <v>1</v>
      </c>
      <c r="D23" s="5">
        <v>3</v>
      </c>
      <c r="E23" s="5">
        <v>1</v>
      </c>
      <c r="F23" s="5">
        <v>4</v>
      </c>
      <c r="G23" s="5">
        <v>3</v>
      </c>
      <c r="H23" s="5">
        <v>3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4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>
        <v>4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7">
        <f t="shared" si="5"/>
        <v>22</v>
      </c>
      <c r="AF23" s="8">
        <f t="shared" si="6"/>
        <v>0</v>
      </c>
      <c r="AG23" s="9">
        <f t="shared" si="7"/>
        <v>3</v>
      </c>
      <c r="AH23" s="10">
        <f t="shared" si="8"/>
        <v>3</v>
      </c>
      <c r="AI23" s="11">
        <f t="shared" si="9"/>
        <v>0</v>
      </c>
    </row>
    <row r="24" spans="1:35" x14ac:dyDescent="0.35">
      <c r="A24" s="3" t="s">
        <v>65</v>
      </c>
      <c r="B24" s="4" t="s">
        <v>50</v>
      </c>
      <c r="C24" s="5"/>
      <c r="D24" s="5"/>
      <c r="E24" s="5"/>
      <c r="F24" s="5"/>
      <c r="G24" s="5"/>
      <c r="H24" s="5"/>
      <c r="I24" s="5"/>
      <c r="J24" s="5">
        <v>1</v>
      </c>
      <c r="K24" s="5">
        <v>1</v>
      </c>
      <c r="L24" s="5">
        <v>3</v>
      </c>
      <c r="M24" s="5">
        <v>1</v>
      </c>
      <c r="N24" s="5">
        <v>4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4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4</v>
      </c>
      <c r="AB24" s="5">
        <v>3</v>
      </c>
      <c r="AC24" s="5">
        <v>3</v>
      </c>
      <c r="AD24" s="5">
        <v>3</v>
      </c>
      <c r="AE24" s="7">
        <f t="shared" si="5"/>
        <v>14</v>
      </c>
      <c r="AF24" s="8">
        <f t="shared" si="6"/>
        <v>0</v>
      </c>
      <c r="AG24" s="9">
        <f t="shared" si="7"/>
        <v>4</v>
      </c>
      <c r="AH24" s="10">
        <f t="shared" si="8"/>
        <v>3</v>
      </c>
      <c r="AI24" s="11">
        <f t="shared" si="9"/>
        <v>0</v>
      </c>
    </row>
    <row r="25" spans="1:35" x14ac:dyDescent="0.35">
      <c r="A25" s="3" t="s">
        <v>72</v>
      </c>
      <c r="B25" s="4" t="s">
        <v>84</v>
      </c>
      <c r="C25" s="5">
        <v>1</v>
      </c>
      <c r="D25" s="5">
        <v>1</v>
      </c>
      <c r="E25" s="5">
        <v>4</v>
      </c>
      <c r="F25" s="5">
        <v>1</v>
      </c>
      <c r="G25" s="5">
        <v>1</v>
      </c>
      <c r="H25" s="5">
        <v>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7">
        <f t="shared" si="5"/>
        <v>5</v>
      </c>
      <c r="AF25" s="8">
        <f t="shared" si="6"/>
        <v>0</v>
      </c>
      <c r="AG25" s="9">
        <f t="shared" si="7"/>
        <v>0</v>
      </c>
      <c r="AH25" s="10">
        <f t="shared" si="8"/>
        <v>1</v>
      </c>
      <c r="AI25" s="11">
        <f t="shared" si="9"/>
        <v>0</v>
      </c>
    </row>
    <row r="26" spans="1:35" x14ac:dyDescent="0.35">
      <c r="A26" s="3" t="s">
        <v>73</v>
      </c>
      <c r="B26" s="4" t="s">
        <v>90</v>
      </c>
      <c r="C26" s="5"/>
      <c r="D26" s="5"/>
      <c r="E26" s="5"/>
      <c r="F26" s="5"/>
      <c r="G26" s="5"/>
      <c r="H26" s="5"/>
      <c r="I26" s="5">
        <v>1</v>
      </c>
      <c r="J26" s="5">
        <v>4</v>
      </c>
      <c r="K26" s="5">
        <v>2</v>
      </c>
      <c r="L26" s="5">
        <v>1</v>
      </c>
      <c r="M26" s="5">
        <v>1</v>
      </c>
      <c r="N26" s="5">
        <v>1</v>
      </c>
      <c r="O26" s="5">
        <v>1</v>
      </c>
      <c r="P26" s="5">
        <v>1</v>
      </c>
      <c r="Q26" s="5">
        <v>4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7">
        <f t="shared" ref="AE26:AE35" si="15">COUNTIF(C26:AD26,"1")</f>
        <v>19</v>
      </c>
      <c r="AF26" s="8">
        <f t="shared" ref="AF26:AF35" si="16">COUNTIF(C26:AD26,"2")</f>
        <v>1</v>
      </c>
      <c r="AG26" s="9">
        <f t="shared" ref="AG26:AG35" si="17">COUNTIF(C26:AD26,"3")</f>
        <v>0</v>
      </c>
      <c r="AH26" s="10">
        <f t="shared" ref="AH26:AH35" si="18">COUNTIF(C26:AD26,"4")</f>
        <v>2</v>
      </c>
      <c r="AI26" s="11">
        <f t="shared" ref="AI26:AI35" si="19">COUNTIF(C26:AD26,"5")</f>
        <v>0</v>
      </c>
    </row>
    <row r="27" spans="1:35" x14ac:dyDescent="0.35">
      <c r="A27" s="3" t="s">
        <v>76</v>
      </c>
      <c r="B27" s="4" t="s">
        <v>98</v>
      </c>
      <c r="C27" s="5">
        <v>1</v>
      </c>
      <c r="D27" s="5">
        <v>1</v>
      </c>
      <c r="E27" s="5">
        <v>4</v>
      </c>
      <c r="F27" s="5">
        <v>1</v>
      </c>
      <c r="G27" s="5">
        <v>4</v>
      </c>
      <c r="H27" s="5">
        <v>1</v>
      </c>
      <c r="I27" s="5">
        <v>1</v>
      </c>
      <c r="J27" s="5">
        <v>1</v>
      </c>
      <c r="K27" s="5">
        <v>1</v>
      </c>
      <c r="L27" s="5">
        <v>1</v>
      </c>
      <c r="M27" s="5">
        <v>1</v>
      </c>
      <c r="N27" s="5">
        <v>4</v>
      </c>
      <c r="O27" s="5">
        <v>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7">
        <f t="shared" si="15"/>
        <v>10</v>
      </c>
      <c r="AF27" s="8">
        <f t="shared" si="16"/>
        <v>0</v>
      </c>
      <c r="AG27" s="9">
        <f t="shared" si="17"/>
        <v>0</v>
      </c>
      <c r="AH27" s="10">
        <f t="shared" si="18"/>
        <v>3</v>
      </c>
      <c r="AI27" s="11">
        <f t="shared" si="19"/>
        <v>0</v>
      </c>
    </row>
    <row r="28" spans="1:35" x14ac:dyDescent="0.35">
      <c r="A28" s="3" t="s">
        <v>37</v>
      </c>
      <c r="B28" s="4" t="s">
        <v>97</v>
      </c>
      <c r="C28" s="5">
        <v>1</v>
      </c>
      <c r="D28" s="5">
        <v>1</v>
      </c>
      <c r="E28" s="5">
        <v>4</v>
      </c>
      <c r="F28" s="5">
        <v>1</v>
      </c>
      <c r="G28" s="5">
        <v>1</v>
      </c>
      <c r="H28" s="5">
        <v>1</v>
      </c>
      <c r="I28" s="5">
        <v>1</v>
      </c>
      <c r="J28" s="5">
        <v>3</v>
      </c>
      <c r="K28" s="5">
        <v>3</v>
      </c>
      <c r="L28" s="5">
        <v>1</v>
      </c>
      <c r="M28" s="5">
        <v>4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4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4</v>
      </c>
      <c r="AA28" s="5">
        <v>1</v>
      </c>
      <c r="AB28" s="5">
        <v>1</v>
      </c>
      <c r="AC28" s="5">
        <v>1</v>
      </c>
      <c r="AD28" s="5">
        <v>1</v>
      </c>
      <c r="AE28" s="7">
        <f t="shared" si="15"/>
        <v>22</v>
      </c>
      <c r="AF28" s="8">
        <f t="shared" si="16"/>
        <v>0</v>
      </c>
      <c r="AG28" s="9">
        <f t="shared" si="17"/>
        <v>2</v>
      </c>
      <c r="AH28" s="10">
        <f t="shared" si="18"/>
        <v>4</v>
      </c>
      <c r="AI28" s="11">
        <f t="shared" si="19"/>
        <v>0</v>
      </c>
    </row>
    <row r="29" spans="1:35" x14ac:dyDescent="0.35">
      <c r="A29" s="3" t="s">
        <v>69</v>
      </c>
      <c r="B29" s="4" t="s">
        <v>75</v>
      </c>
      <c r="C29" s="5"/>
      <c r="D29" s="5"/>
      <c r="E29" s="5">
        <v>1</v>
      </c>
      <c r="F29" s="5">
        <v>1</v>
      </c>
      <c r="G29" s="5">
        <v>1</v>
      </c>
      <c r="H29" s="5">
        <v>1</v>
      </c>
      <c r="I29" s="5">
        <v>1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7">
        <f t="shared" si="15"/>
        <v>5</v>
      </c>
      <c r="AF29" s="8">
        <f t="shared" si="16"/>
        <v>0</v>
      </c>
      <c r="AG29" s="9">
        <f t="shared" si="17"/>
        <v>0</v>
      </c>
      <c r="AH29" s="10">
        <f t="shared" si="18"/>
        <v>0</v>
      </c>
      <c r="AI29" s="11">
        <f t="shared" si="19"/>
        <v>0</v>
      </c>
    </row>
    <row r="30" spans="1:35" x14ac:dyDescent="0.35">
      <c r="A30" s="3" t="s">
        <v>93</v>
      </c>
      <c r="B30" s="4" t="s">
        <v>95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1</v>
      </c>
      <c r="AE30" s="7">
        <f t="shared" ref="AE30:AE34" si="20">COUNTIF(C30:AD30,"1")</f>
        <v>7</v>
      </c>
      <c r="AF30" s="8">
        <f t="shared" ref="AF30:AF34" si="21">COUNTIF(C30:AD30,"2")</f>
        <v>0</v>
      </c>
      <c r="AG30" s="9">
        <f t="shared" ref="AG30:AG34" si="22">COUNTIF(C30:AD30,"3")</f>
        <v>0</v>
      </c>
      <c r="AH30" s="10">
        <f t="shared" ref="AH30:AH34" si="23">COUNTIF(C30:AD30,"4")</f>
        <v>0</v>
      </c>
      <c r="AI30" s="11">
        <f t="shared" ref="AI30:AI34" si="24">COUNTIF(C30:AD30,"5")</f>
        <v>0</v>
      </c>
    </row>
    <row r="31" spans="1:35" x14ac:dyDescent="0.35">
      <c r="A31" s="3" t="s">
        <v>86</v>
      </c>
      <c r="B31" s="4" t="s">
        <v>91</v>
      </c>
      <c r="C31" s="5">
        <v>4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1</v>
      </c>
      <c r="K31" s="5">
        <v>1</v>
      </c>
      <c r="L31" s="5">
        <v>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7">
        <f t="shared" si="20"/>
        <v>9</v>
      </c>
      <c r="AF31" s="8">
        <f t="shared" si="21"/>
        <v>0</v>
      </c>
      <c r="AG31" s="9">
        <f t="shared" si="22"/>
        <v>0</v>
      </c>
      <c r="AH31" s="10">
        <f t="shared" si="23"/>
        <v>1</v>
      </c>
      <c r="AI31" s="11">
        <f t="shared" si="24"/>
        <v>0</v>
      </c>
    </row>
    <row r="32" spans="1:35" x14ac:dyDescent="0.35">
      <c r="A32" s="4" t="s">
        <v>89</v>
      </c>
      <c r="B32" s="4" t="s">
        <v>89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1</v>
      </c>
      <c r="N32" s="5">
        <v>1</v>
      </c>
      <c r="O32" s="5">
        <v>1</v>
      </c>
      <c r="P32" s="5">
        <v>1</v>
      </c>
      <c r="Q32" s="5">
        <v>1</v>
      </c>
      <c r="R32" s="5">
        <v>1</v>
      </c>
      <c r="S32" s="5">
        <v>4</v>
      </c>
      <c r="T32" s="5">
        <v>1</v>
      </c>
      <c r="U32" s="5">
        <v>1</v>
      </c>
      <c r="V32" s="5">
        <v>1</v>
      </c>
      <c r="W32" s="5">
        <v>1</v>
      </c>
      <c r="X32" s="5">
        <v>1</v>
      </c>
      <c r="Y32" s="5">
        <v>4</v>
      </c>
      <c r="Z32" s="5">
        <v>1</v>
      </c>
      <c r="AA32" s="5">
        <v>1</v>
      </c>
      <c r="AB32" s="5">
        <v>1</v>
      </c>
      <c r="AC32" s="5">
        <v>1</v>
      </c>
      <c r="AD32" s="5">
        <v>2</v>
      </c>
      <c r="AE32" s="7">
        <f t="shared" ref="AE32" si="25">COUNTIF(C32:AD32,"1")</f>
        <v>15</v>
      </c>
      <c r="AF32" s="8">
        <f t="shared" ref="AF32" si="26">COUNTIF(C32:AD32,"2")</f>
        <v>1</v>
      </c>
      <c r="AG32" s="9">
        <f t="shared" ref="AG32" si="27">COUNTIF(C32:AD32,"3")</f>
        <v>0</v>
      </c>
      <c r="AH32" s="10">
        <f t="shared" ref="AH32" si="28">COUNTIF(C32:AD32,"4")</f>
        <v>2</v>
      </c>
      <c r="AI32" s="11">
        <f t="shared" ref="AI32" si="29">COUNTIF(C32:AD32,"5")</f>
        <v>0</v>
      </c>
    </row>
    <row r="33" spans="1:35" x14ac:dyDescent="0.35">
      <c r="A33" s="4" t="s">
        <v>42</v>
      </c>
      <c r="B33" s="4" t="s">
        <v>31</v>
      </c>
      <c r="C33" s="5">
        <v>1</v>
      </c>
      <c r="D33" s="5">
        <v>1</v>
      </c>
      <c r="E33" s="5">
        <v>4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1</v>
      </c>
      <c r="L33" s="5">
        <v>4</v>
      </c>
      <c r="M33" s="5">
        <v>1</v>
      </c>
      <c r="N33" s="5">
        <v>1</v>
      </c>
      <c r="O33" s="5">
        <v>1</v>
      </c>
      <c r="P33" s="5">
        <v>1</v>
      </c>
      <c r="Q33" s="5">
        <v>1</v>
      </c>
      <c r="R33" s="5">
        <v>1</v>
      </c>
      <c r="S33" s="5">
        <v>4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3</v>
      </c>
      <c r="AB33" s="5">
        <v>1</v>
      </c>
      <c r="AC33" s="5">
        <v>1</v>
      </c>
      <c r="AD33" s="5">
        <v>1</v>
      </c>
      <c r="AE33" s="7">
        <f t="shared" si="20"/>
        <v>24</v>
      </c>
      <c r="AF33" s="8">
        <f t="shared" si="21"/>
        <v>0</v>
      </c>
      <c r="AG33" s="9">
        <f t="shared" si="22"/>
        <v>1</v>
      </c>
      <c r="AH33" s="10">
        <f t="shared" si="23"/>
        <v>3</v>
      </c>
      <c r="AI33" s="11">
        <f t="shared" si="24"/>
        <v>0</v>
      </c>
    </row>
    <row r="34" spans="1:35" x14ac:dyDescent="0.35">
      <c r="A34" s="4" t="s">
        <v>46</v>
      </c>
      <c r="B34" s="4" t="s">
        <v>52</v>
      </c>
      <c r="C34" s="5">
        <v>4</v>
      </c>
      <c r="D34" s="5">
        <v>2</v>
      </c>
      <c r="E34" s="5">
        <v>2</v>
      </c>
      <c r="F34" s="5">
        <v>2</v>
      </c>
      <c r="G34" s="5">
        <v>5</v>
      </c>
      <c r="H34" s="5">
        <v>5</v>
      </c>
      <c r="I34" s="5">
        <v>5</v>
      </c>
      <c r="J34" s="5">
        <v>4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4</v>
      </c>
      <c r="R34" s="5">
        <v>1</v>
      </c>
      <c r="S34" s="5">
        <v>1</v>
      </c>
      <c r="T34" s="5">
        <v>1</v>
      </c>
      <c r="U34" s="5">
        <v>1</v>
      </c>
      <c r="V34" s="5">
        <v>3</v>
      </c>
      <c r="W34" s="5">
        <v>3</v>
      </c>
      <c r="X34" s="5">
        <v>4</v>
      </c>
      <c r="Y34" s="5">
        <v>1</v>
      </c>
      <c r="Z34" s="5">
        <v>1</v>
      </c>
      <c r="AA34" s="5">
        <v>3</v>
      </c>
      <c r="AB34" s="5">
        <v>3</v>
      </c>
      <c r="AC34" s="5">
        <v>3</v>
      </c>
      <c r="AD34" s="5">
        <v>3</v>
      </c>
      <c r="AE34" s="7">
        <f t="shared" si="20"/>
        <v>12</v>
      </c>
      <c r="AF34" s="8">
        <f t="shared" si="21"/>
        <v>3</v>
      </c>
      <c r="AG34" s="9">
        <f t="shared" si="22"/>
        <v>6</v>
      </c>
      <c r="AH34" s="10">
        <f t="shared" si="23"/>
        <v>4</v>
      </c>
      <c r="AI34" s="11">
        <f t="shared" si="24"/>
        <v>3</v>
      </c>
    </row>
    <row r="35" spans="1:35" x14ac:dyDescent="0.35">
      <c r="A35" s="4" t="s">
        <v>34</v>
      </c>
      <c r="B35" s="4" t="s">
        <v>40</v>
      </c>
      <c r="C35" s="5">
        <v>4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4</v>
      </c>
      <c r="K35" s="5">
        <v>1</v>
      </c>
      <c r="L35" s="5">
        <v>1</v>
      </c>
      <c r="M35" s="6">
        <v>1</v>
      </c>
      <c r="N35" s="5">
        <v>1</v>
      </c>
      <c r="O35" s="5">
        <v>1</v>
      </c>
      <c r="P35" s="5">
        <v>1</v>
      </c>
      <c r="Q35" s="5">
        <v>4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4</v>
      </c>
      <c r="Y35" s="5">
        <v>1</v>
      </c>
      <c r="Z35" s="5">
        <v>1</v>
      </c>
      <c r="AA35" s="5">
        <v>1</v>
      </c>
      <c r="AB35" s="5">
        <v>1</v>
      </c>
      <c r="AC35" s="5">
        <v>1</v>
      </c>
      <c r="AD35" s="6">
        <v>4</v>
      </c>
      <c r="AE35" s="7">
        <f t="shared" si="15"/>
        <v>23</v>
      </c>
      <c r="AF35" s="8">
        <f t="shared" si="16"/>
        <v>0</v>
      </c>
      <c r="AG35" s="9">
        <f t="shared" si="17"/>
        <v>0</v>
      </c>
      <c r="AH35" s="10">
        <f t="shared" si="18"/>
        <v>5</v>
      </c>
      <c r="AI35" s="11">
        <f t="shared" si="19"/>
        <v>0</v>
      </c>
    </row>
    <row r="36" spans="1:35" x14ac:dyDescent="0.35">
      <c r="A36" s="4" t="s">
        <v>34</v>
      </c>
      <c r="B36" s="4" t="s">
        <v>41</v>
      </c>
      <c r="C36" s="5">
        <v>4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4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5">
        <v>4</v>
      </c>
      <c r="R36" s="5">
        <v>1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6">
        <v>4</v>
      </c>
      <c r="Y36" s="6">
        <v>1</v>
      </c>
      <c r="Z36" s="5">
        <v>1</v>
      </c>
      <c r="AA36" s="5">
        <v>1</v>
      </c>
      <c r="AB36" s="5">
        <v>1</v>
      </c>
      <c r="AC36" s="5">
        <v>1</v>
      </c>
      <c r="AD36" s="5">
        <v>4</v>
      </c>
      <c r="AE36" s="7">
        <f t="shared" si="0"/>
        <v>23</v>
      </c>
      <c r="AF36" s="8">
        <f t="shared" si="1"/>
        <v>0</v>
      </c>
      <c r="AG36" s="9">
        <f t="shared" si="2"/>
        <v>0</v>
      </c>
      <c r="AH36" s="10">
        <f t="shared" si="3"/>
        <v>5</v>
      </c>
      <c r="AI36" s="11">
        <f t="shared" si="4"/>
        <v>0</v>
      </c>
    </row>
    <row r="37" spans="1:35" x14ac:dyDescent="0.35">
      <c r="A37" s="4"/>
      <c r="B37" s="4"/>
      <c r="G37" s="6"/>
    </row>
  </sheetData>
  <mergeCells count="8">
    <mergeCell ref="A1:AI1"/>
    <mergeCell ref="A2:A3"/>
    <mergeCell ref="B2:B3"/>
    <mergeCell ref="AE2:AE3"/>
    <mergeCell ref="AF2:AF3"/>
    <mergeCell ref="AG2:AG3"/>
    <mergeCell ref="AH2:AH3"/>
    <mergeCell ref="AI2:AI3"/>
  </mergeCells>
  <phoneticPr fontId="5" type="noConversion"/>
  <conditionalFormatting sqref="C4:AD36 G37">
    <cfRule type="cellIs" dxfId="39" priority="1" operator="equal">
      <formula>1</formula>
    </cfRule>
    <cfRule type="cellIs" dxfId="38" priority="2" operator="equal">
      <formula>2</formula>
    </cfRule>
    <cfRule type="cellIs" dxfId="37" priority="3" operator="equal">
      <formula>3</formula>
    </cfRule>
    <cfRule type="cellIs" dxfId="36" priority="4" operator="equal">
      <formula>4</formula>
    </cfRule>
    <cfRule type="cellIs" dxfId="35" priority="5" operator="equal">
      <formula>5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9AD8-C266-4606-BD5F-DFE22745270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8999-F274-47F9-AB84-F0B0C9EE0630}">
  <dimension ref="A1:AL40"/>
  <sheetViews>
    <sheetView topLeftCell="L1" zoomScale="77" zoomScaleNormal="77" workbookViewId="0">
      <selection activeCell="AK2" sqref="AK1:AK1048576"/>
    </sheetView>
  </sheetViews>
  <sheetFormatPr baseColWidth="10" defaultRowHeight="14.5" x14ac:dyDescent="0.35"/>
  <cols>
    <col min="1" max="1" width="35.7265625" customWidth="1"/>
    <col min="2" max="2" width="54.54296875" customWidth="1"/>
    <col min="3" max="3" width="8.36328125" customWidth="1"/>
    <col min="4" max="4" width="9.36328125" customWidth="1"/>
    <col min="5" max="5" width="9.26953125" customWidth="1"/>
    <col min="6" max="6" width="7.7265625" customWidth="1"/>
    <col min="7" max="7" width="8.36328125" customWidth="1"/>
    <col min="8" max="8" width="8.81640625" customWidth="1"/>
    <col min="9" max="9" width="8.7265625" customWidth="1"/>
    <col min="10" max="10" width="9.1796875" customWidth="1"/>
    <col min="11" max="11" width="8.453125" customWidth="1"/>
    <col min="12" max="12" width="9" customWidth="1"/>
    <col min="13" max="13" width="8" customWidth="1"/>
    <col min="14" max="14" width="8.08984375" customWidth="1"/>
    <col min="15" max="15" width="7.453125" customWidth="1"/>
    <col min="16" max="16" width="7.90625" customWidth="1"/>
    <col min="17" max="17" width="8.36328125" customWidth="1"/>
    <col min="18" max="18" width="8.90625" customWidth="1"/>
    <col min="19" max="19" width="8.453125" customWidth="1"/>
    <col min="20" max="20" width="8.36328125" customWidth="1"/>
    <col min="21" max="21" width="7.90625" customWidth="1"/>
    <col min="22" max="22" width="8.08984375" customWidth="1"/>
    <col min="23" max="23" width="9.54296875" customWidth="1"/>
    <col min="24" max="25" width="9.1796875" customWidth="1"/>
    <col min="26" max="26" width="7.26953125" customWidth="1"/>
    <col min="27" max="27" width="6.7265625" customWidth="1"/>
    <col min="28" max="28" width="6.6328125" customWidth="1"/>
    <col min="29" max="32" width="7.26953125" customWidth="1"/>
    <col min="33" max="33" width="8.6328125" customWidth="1"/>
    <col min="38" max="38" width="10.90625" customWidth="1"/>
  </cols>
  <sheetData>
    <row r="1" spans="1:38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x14ac:dyDescent="0.35">
      <c r="A2" s="23" t="s">
        <v>0</v>
      </c>
      <c r="B2" s="23" t="s">
        <v>1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21" t="s">
        <v>2</v>
      </c>
      <c r="AI2" s="21" t="s">
        <v>78</v>
      </c>
      <c r="AJ2" s="21" t="s">
        <v>79</v>
      </c>
      <c r="AK2" s="21" t="s">
        <v>81</v>
      </c>
      <c r="AL2" s="21" t="s">
        <v>80</v>
      </c>
    </row>
    <row r="3" spans="1:38" x14ac:dyDescent="0.35">
      <c r="A3" s="24"/>
      <c r="B3" s="24"/>
      <c r="C3" s="2" t="s">
        <v>9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  <c r="P3" s="2" t="s">
        <v>8</v>
      </c>
      <c r="Q3" s="2" t="s">
        <v>9</v>
      </c>
      <c r="R3" s="2" t="s">
        <v>3</v>
      </c>
      <c r="S3" s="2" t="s">
        <v>4</v>
      </c>
      <c r="T3" s="2" t="s">
        <v>5</v>
      </c>
      <c r="U3" s="2" t="s">
        <v>6</v>
      </c>
      <c r="V3" s="2" t="s">
        <v>7</v>
      </c>
      <c r="W3" s="2" t="s">
        <v>8</v>
      </c>
      <c r="X3" s="2" t="s">
        <v>9</v>
      </c>
      <c r="Y3" s="2" t="s">
        <v>3</v>
      </c>
      <c r="Z3" s="2" t="s">
        <v>4</v>
      </c>
      <c r="AA3" s="2" t="s">
        <v>5</v>
      </c>
      <c r="AB3" s="2" t="s">
        <v>6</v>
      </c>
      <c r="AC3" s="2" t="s">
        <v>7</v>
      </c>
      <c r="AD3" s="2" t="s">
        <v>8</v>
      </c>
      <c r="AE3" s="2" t="s">
        <v>9</v>
      </c>
      <c r="AF3" s="2" t="s">
        <v>3</v>
      </c>
      <c r="AG3" s="2" t="s">
        <v>4</v>
      </c>
      <c r="AH3" s="22"/>
      <c r="AI3" s="22"/>
      <c r="AJ3" s="22"/>
      <c r="AK3" s="22"/>
      <c r="AL3" s="22"/>
    </row>
    <row r="4" spans="1:38" x14ac:dyDescent="0.35">
      <c r="A4" s="3" t="s">
        <v>10</v>
      </c>
      <c r="B4" s="4" t="s">
        <v>11</v>
      </c>
      <c r="C4" s="5">
        <v>1</v>
      </c>
      <c r="D4" s="5">
        <v>1</v>
      </c>
      <c r="E4" s="5">
        <v>1</v>
      </c>
      <c r="F4" s="5">
        <v>1</v>
      </c>
      <c r="G4" s="5">
        <v>4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4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4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4</v>
      </c>
      <c r="AC4" s="5">
        <v>1</v>
      </c>
      <c r="AD4" s="5">
        <v>1</v>
      </c>
      <c r="AE4" s="5">
        <v>1</v>
      </c>
      <c r="AF4" s="5">
        <v>1</v>
      </c>
      <c r="AG4" s="5">
        <v>4</v>
      </c>
      <c r="AH4" s="7">
        <f t="shared" ref="AH4:AH5" si="0">COUNTIF(C4:AG4,"1")</f>
        <v>26</v>
      </c>
      <c r="AI4" s="8">
        <v>0</v>
      </c>
      <c r="AJ4" s="9">
        <v>0</v>
      </c>
      <c r="AK4" s="10">
        <v>4</v>
      </c>
      <c r="AL4" s="11">
        <v>0</v>
      </c>
    </row>
    <row r="5" spans="1:38" x14ac:dyDescent="0.35">
      <c r="A5" s="3" t="s">
        <v>108</v>
      </c>
      <c r="B5" s="4" t="s">
        <v>109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4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6">
        <v>4</v>
      </c>
      <c r="AH5" s="7">
        <f t="shared" si="0"/>
        <v>13</v>
      </c>
      <c r="AI5" s="8">
        <v>0</v>
      </c>
      <c r="AJ5" s="9">
        <v>0</v>
      </c>
      <c r="AK5" s="10">
        <v>0</v>
      </c>
      <c r="AL5" s="11">
        <v>0</v>
      </c>
    </row>
    <row r="6" spans="1:38" x14ac:dyDescent="0.35">
      <c r="A6" s="3" t="s">
        <v>122</v>
      </c>
      <c r="B6" s="4"/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4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4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4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4</v>
      </c>
      <c r="AH6" s="7">
        <f>COUNTIF(C6:AG6,"1")</f>
        <v>27</v>
      </c>
      <c r="AI6" s="8">
        <f>COUNTIF(C6:AG6,"2")</f>
        <v>0</v>
      </c>
      <c r="AJ6" s="9">
        <f>COUNTIF(C6:AG6,"3")</f>
        <v>0</v>
      </c>
      <c r="AK6" s="10">
        <v>4</v>
      </c>
      <c r="AL6" s="11">
        <v>0</v>
      </c>
    </row>
    <row r="7" spans="1:38" x14ac:dyDescent="0.35">
      <c r="A7" s="3" t="s">
        <v>15</v>
      </c>
      <c r="B7" s="4" t="s">
        <v>14</v>
      </c>
      <c r="C7" s="5">
        <v>1</v>
      </c>
      <c r="D7" s="5">
        <v>1</v>
      </c>
      <c r="E7" s="5">
        <v>4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4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4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4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1</v>
      </c>
      <c r="AG7" s="5">
        <v>4</v>
      </c>
      <c r="AH7" s="7">
        <f t="shared" ref="AH7:AH8" si="1">COUNTIF(C7:AG7,"1")</f>
        <v>26</v>
      </c>
      <c r="AI7" s="8">
        <v>0</v>
      </c>
      <c r="AJ7" s="9">
        <v>0</v>
      </c>
      <c r="AK7" s="10">
        <v>4</v>
      </c>
      <c r="AL7" s="11">
        <v>0</v>
      </c>
    </row>
    <row r="8" spans="1:38" x14ac:dyDescent="0.35">
      <c r="A8" s="3" t="s">
        <v>16</v>
      </c>
      <c r="B8" s="4" t="s">
        <v>17</v>
      </c>
      <c r="C8" s="5">
        <v>1</v>
      </c>
      <c r="D8" s="5">
        <v>1</v>
      </c>
      <c r="E8" s="5">
        <v>4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4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4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4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5">
        <v>4</v>
      </c>
      <c r="AH8" s="7">
        <f t="shared" si="1"/>
        <v>26</v>
      </c>
      <c r="AI8" s="8">
        <f t="shared" ref="AI8" si="2">COUNTIF(C8:AG8,"2")</f>
        <v>0</v>
      </c>
      <c r="AJ8" s="9">
        <f t="shared" ref="AJ8" si="3">COUNTIF(C8:AG8,"3")</f>
        <v>0</v>
      </c>
      <c r="AK8" s="10">
        <f t="shared" ref="AK8" si="4">COUNTIF(C8:AG8,"4")</f>
        <v>5</v>
      </c>
      <c r="AL8" s="11">
        <f t="shared" ref="AL8" si="5">COUNTIF(C8:AG8,"5")</f>
        <v>0</v>
      </c>
    </row>
    <row r="9" spans="1:38" x14ac:dyDescent="0.35">
      <c r="A9" s="3" t="s">
        <v>106</v>
      </c>
      <c r="B9" s="4" t="s">
        <v>105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  <c r="Z9" s="5">
        <v>4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4</v>
      </c>
      <c r="AH9" s="7">
        <f t="shared" ref="AH9" si="6">COUNTIF(C9:AG9,"1")</f>
        <v>14</v>
      </c>
      <c r="AI9" s="8">
        <f t="shared" ref="AI9" si="7">COUNTIF(C9:AG9,"2")</f>
        <v>0</v>
      </c>
      <c r="AJ9" s="9">
        <f t="shared" ref="AJ9" si="8">COUNTIF(C9:AG9,"3")</f>
        <v>0</v>
      </c>
      <c r="AK9" s="10">
        <f t="shared" ref="AK9" si="9">COUNTIF(C9:AG9,"4")</f>
        <v>2</v>
      </c>
      <c r="AL9" s="11">
        <f t="shared" ref="AL9" si="10">COUNTIF(C9:AG9,"5")</f>
        <v>0</v>
      </c>
    </row>
    <row r="10" spans="1:38" x14ac:dyDescent="0.35">
      <c r="A10" s="3" t="s">
        <v>110</v>
      </c>
      <c r="B10" s="4"/>
      <c r="C10" s="5">
        <v>1</v>
      </c>
      <c r="D10" s="5">
        <v>1</v>
      </c>
      <c r="E10" s="5">
        <v>4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4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4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4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4</v>
      </c>
      <c r="AH10" s="7">
        <f t="shared" ref="AH10:AH31" si="11">COUNTIF(C10:AG10,"1")</f>
        <v>26</v>
      </c>
      <c r="AI10" s="8">
        <f t="shared" ref="AI10:AI31" si="12">COUNTIF(C10:AG10,"2")</f>
        <v>0</v>
      </c>
      <c r="AJ10" s="9">
        <f t="shared" ref="AJ10:AJ31" si="13">COUNTIF(C10:AG10,"3")</f>
        <v>0</v>
      </c>
      <c r="AK10" s="10">
        <f t="shared" ref="AK10:AK31" si="14">COUNTIF(C10:AG10,"4")</f>
        <v>5</v>
      </c>
      <c r="AL10" s="11">
        <f t="shared" ref="AL10:AL31" si="15">COUNTIF(C10:AG10,"5")</f>
        <v>0</v>
      </c>
    </row>
    <row r="11" spans="1:38" x14ac:dyDescent="0.35">
      <c r="A11" s="3" t="s">
        <v>120</v>
      </c>
      <c r="B11" s="4" t="s">
        <v>22</v>
      </c>
      <c r="C11" s="5">
        <v>5</v>
      </c>
      <c r="D11" s="5">
        <v>5</v>
      </c>
      <c r="E11" s="5">
        <v>4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4</v>
      </c>
      <c r="M11" s="5">
        <v>1</v>
      </c>
      <c r="N11" s="5">
        <v>3</v>
      </c>
      <c r="O11" s="5">
        <v>3</v>
      </c>
      <c r="P11" s="5">
        <v>3</v>
      </c>
      <c r="Q11" s="5">
        <v>2</v>
      </c>
      <c r="R11" s="5">
        <v>1</v>
      </c>
      <c r="S11" s="5">
        <v>4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4</v>
      </c>
      <c r="AA11" s="5">
        <v>1</v>
      </c>
      <c r="AB11" s="5">
        <v>1</v>
      </c>
      <c r="AC11" s="5"/>
      <c r="AD11" s="5"/>
      <c r="AE11" s="5"/>
      <c r="AF11" s="5"/>
      <c r="AG11" s="5"/>
      <c r="AH11" s="7">
        <f t="shared" si="11"/>
        <v>16</v>
      </c>
      <c r="AI11" s="8">
        <f t="shared" si="12"/>
        <v>1</v>
      </c>
      <c r="AJ11" s="9">
        <f t="shared" si="13"/>
        <v>3</v>
      </c>
      <c r="AK11" s="10">
        <f t="shared" si="14"/>
        <v>4</v>
      </c>
      <c r="AL11" s="11">
        <f t="shared" si="15"/>
        <v>2</v>
      </c>
    </row>
    <row r="12" spans="1:38" x14ac:dyDescent="0.35">
      <c r="A12" s="3" t="s">
        <v>23</v>
      </c>
      <c r="B12" s="4" t="s">
        <v>44</v>
      </c>
      <c r="C12" s="5">
        <v>1</v>
      </c>
      <c r="D12" s="5">
        <v>1</v>
      </c>
      <c r="E12" s="5">
        <v>4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4</v>
      </c>
      <c r="M12" s="5">
        <v>1</v>
      </c>
      <c r="N12" s="6">
        <v>1</v>
      </c>
      <c r="O12" s="5">
        <v>1</v>
      </c>
      <c r="P12" s="5">
        <v>1</v>
      </c>
      <c r="Q12" s="5">
        <v>1</v>
      </c>
      <c r="R12" s="5">
        <v>4</v>
      </c>
      <c r="S12" s="5">
        <v>1</v>
      </c>
      <c r="T12" s="5">
        <v>2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4</v>
      </c>
      <c r="AA12" s="5">
        <v>2</v>
      </c>
      <c r="AB12" s="5">
        <v>1</v>
      </c>
      <c r="AC12" s="5"/>
      <c r="AD12" s="5"/>
      <c r="AE12" s="5"/>
      <c r="AF12" s="5"/>
      <c r="AG12" s="5"/>
      <c r="AH12" s="7">
        <f t="shared" si="11"/>
        <v>20</v>
      </c>
      <c r="AI12" s="8">
        <f t="shared" si="12"/>
        <v>2</v>
      </c>
      <c r="AJ12" s="9">
        <f t="shared" si="13"/>
        <v>0</v>
      </c>
      <c r="AK12" s="10">
        <f t="shared" si="14"/>
        <v>4</v>
      </c>
      <c r="AL12" s="11">
        <f t="shared" si="15"/>
        <v>0</v>
      </c>
    </row>
    <row r="13" spans="1:38" x14ac:dyDescent="0.35">
      <c r="A13" s="3" t="s">
        <v>116</v>
      </c>
      <c r="B13" s="4" t="s">
        <v>115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5"/>
      <c r="P13" s="5"/>
      <c r="Q13" s="5"/>
      <c r="R13" s="6"/>
      <c r="S13" s="5"/>
      <c r="T13" s="5"/>
      <c r="U13" s="5"/>
      <c r="V13" s="5"/>
      <c r="W13" s="5"/>
      <c r="X13" s="5"/>
      <c r="Y13" s="5"/>
      <c r="Z13" s="5"/>
      <c r="AA13" s="5">
        <v>1</v>
      </c>
      <c r="AB13" s="5">
        <v>1</v>
      </c>
      <c r="AC13" s="5">
        <v>1</v>
      </c>
      <c r="AD13" s="5">
        <v>1</v>
      </c>
      <c r="AE13" s="5">
        <v>1</v>
      </c>
      <c r="AF13" s="5">
        <v>1</v>
      </c>
      <c r="AG13" s="5">
        <v>4</v>
      </c>
      <c r="AH13" s="7">
        <f t="shared" ref="AH13:AH29" si="16">COUNTIF(C13:AG13,"1")</f>
        <v>6</v>
      </c>
      <c r="AI13" s="8">
        <f t="shared" ref="AI13:AI29" si="17">COUNTIF(C13:AG13,"2")</f>
        <v>0</v>
      </c>
      <c r="AJ13" s="9">
        <f t="shared" ref="AJ13:AJ29" si="18">COUNTIF(C13:AG13,"3")</f>
        <v>0</v>
      </c>
      <c r="AK13" s="10">
        <f t="shared" ref="AK13:AK29" si="19">COUNTIF(C13:AG13,"4")</f>
        <v>1</v>
      </c>
      <c r="AL13" s="11">
        <f t="shared" ref="AL13:AL29" si="20">COUNTIF(C13:AG13,"5")</f>
        <v>0</v>
      </c>
    </row>
    <row r="14" spans="1:38" x14ac:dyDescent="0.35">
      <c r="A14" s="3" t="s">
        <v>24</v>
      </c>
      <c r="B14" s="4" t="s">
        <v>25</v>
      </c>
      <c r="C14" s="5">
        <v>1</v>
      </c>
      <c r="D14" s="5">
        <v>1</v>
      </c>
      <c r="E14" s="5">
        <v>4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4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</v>
      </c>
      <c r="S14" s="5">
        <v>1</v>
      </c>
      <c r="T14" s="5">
        <v>4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4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4</v>
      </c>
      <c r="AH14" s="7">
        <f t="shared" si="16"/>
        <v>26</v>
      </c>
      <c r="AI14" s="8">
        <f t="shared" si="17"/>
        <v>0</v>
      </c>
      <c r="AJ14" s="9">
        <f t="shared" si="18"/>
        <v>0</v>
      </c>
      <c r="AK14" s="10">
        <f t="shared" si="19"/>
        <v>5</v>
      </c>
      <c r="AL14" s="11">
        <f t="shared" si="20"/>
        <v>0</v>
      </c>
    </row>
    <row r="15" spans="1:38" x14ac:dyDescent="0.35">
      <c r="A15" s="3" t="s">
        <v>26</v>
      </c>
      <c r="B15" s="4" t="s">
        <v>27</v>
      </c>
      <c r="C15" s="5">
        <v>1</v>
      </c>
      <c r="D15" s="5">
        <v>1</v>
      </c>
      <c r="E15" s="5">
        <v>4</v>
      </c>
      <c r="F15" s="5">
        <v>1</v>
      </c>
      <c r="G15" s="5">
        <v>1</v>
      </c>
      <c r="H15" s="5">
        <v>3</v>
      </c>
      <c r="I15" s="5">
        <v>3</v>
      </c>
      <c r="J15" s="5">
        <v>3</v>
      </c>
      <c r="K15" s="5">
        <v>1</v>
      </c>
      <c r="L15" s="5">
        <v>1</v>
      </c>
      <c r="M15" s="5">
        <v>4</v>
      </c>
      <c r="N15" s="5">
        <v>1</v>
      </c>
      <c r="O15" s="5">
        <v>1</v>
      </c>
      <c r="P15" s="5">
        <v>1</v>
      </c>
      <c r="Q15" s="5">
        <v>1</v>
      </c>
      <c r="R15" s="5">
        <v>4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4</v>
      </c>
      <c r="Z15" s="5">
        <v>1</v>
      </c>
      <c r="AA15" s="5">
        <v>1</v>
      </c>
      <c r="AB15" s="6">
        <v>1</v>
      </c>
      <c r="AC15" s="5">
        <v>1</v>
      </c>
      <c r="AD15" s="5">
        <v>1</v>
      </c>
      <c r="AE15" s="5">
        <v>1</v>
      </c>
      <c r="AF15" s="5">
        <v>1</v>
      </c>
      <c r="AG15" s="5">
        <v>4</v>
      </c>
      <c r="AH15" s="7">
        <f t="shared" si="16"/>
        <v>23</v>
      </c>
      <c r="AI15" s="8">
        <f t="shared" si="17"/>
        <v>0</v>
      </c>
      <c r="AJ15" s="9">
        <f t="shared" si="18"/>
        <v>3</v>
      </c>
      <c r="AK15" s="10">
        <f t="shared" si="19"/>
        <v>5</v>
      </c>
      <c r="AL15" s="11">
        <f t="shared" si="20"/>
        <v>0</v>
      </c>
    </row>
    <row r="16" spans="1:38" x14ac:dyDescent="0.35">
      <c r="A16" s="3" t="s">
        <v>114</v>
      </c>
      <c r="B16" s="4" t="s">
        <v>103</v>
      </c>
      <c r="C16" s="5"/>
      <c r="D16" s="5"/>
      <c r="E16" s="5"/>
      <c r="F16" s="5"/>
      <c r="G16" s="5"/>
      <c r="H16" s="5"/>
      <c r="I16" s="5"/>
      <c r="J16" s="5"/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4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4</v>
      </c>
      <c r="AA16" s="5">
        <v>1</v>
      </c>
      <c r="AB16" s="5">
        <v>1</v>
      </c>
      <c r="AC16" s="5">
        <v>1</v>
      </c>
      <c r="AD16" s="5">
        <v>1</v>
      </c>
      <c r="AE16" s="5">
        <v>3</v>
      </c>
      <c r="AF16" s="5">
        <v>4</v>
      </c>
      <c r="AG16" s="5">
        <v>1</v>
      </c>
      <c r="AH16" s="7">
        <f t="shared" si="16"/>
        <v>19</v>
      </c>
      <c r="AI16" s="8">
        <f t="shared" si="17"/>
        <v>0</v>
      </c>
      <c r="AJ16" s="9">
        <f t="shared" si="18"/>
        <v>1</v>
      </c>
      <c r="AK16" s="10">
        <f t="shared" si="19"/>
        <v>3</v>
      </c>
      <c r="AL16" s="11">
        <f t="shared" si="20"/>
        <v>0</v>
      </c>
    </row>
    <row r="17" spans="1:38" x14ac:dyDescent="0.35">
      <c r="A17" s="3" t="s">
        <v>13</v>
      </c>
      <c r="B17" s="4" t="s">
        <v>30</v>
      </c>
      <c r="C17" s="5">
        <v>1</v>
      </c>
      <c r="D17" s="5">
        <v>1</v>
      </c>
      <c r="E17" s="5">
        <v>4</v>
      </c>
      <c r="F17" s="5">
        <v>1</v>
      </c>
      <c r="G17" s="5">
        <v>1</v>
      </c>
      <c r="H17" s="5">
        <v>1</v>
      </c>
      <c r="I17" s="5">
        <v>1</v>
      </c>
      <c r="J17" s="5">
        <v>2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4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4</v>
      </c>
      <c r="AA17" s="5">
        <v>1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4</v>
      </c>
      <c r="AH17" s="7">
        <f t="shared" si="16"/>
        <v>26</v>
      </c>
      <c r="AI17" s="8">
        <f t="shared" si="17"/>
        <v>1</v>
      </c>
      <c r="AJ17" s="9">
        <f t="shared" si="18"/>
        <v>0</v>
      </c>
      <c r="AK17" s="10">
        <f t="shared" si="19"/>
        <v>4</v>
      </c>
      <c r="AL17" s="11">
        <f t="shared" si="20"/>
        <v>0</v>
      </c>
    </row>
    <row r="18" spans="1:38" x14ac:dyDescent="0.35">
      <c r="A18" s="3" t="s">
        <v>39</v>
      </c>
      <c r="B18" s="4" t="s">
        <v>43</v>
      </c>
      <c r="C18" s="5">
        <v>4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1</v>
      </c>
      <c r="J18" s="5">
        <v>4</v>
      </c>
      <c r="K18" s="5">
        <v>1</v>
      </c>
      <c r="L18" s="5">
        <v>1</v>
      </c>
      <c r="M18" s="5">
        <v>1</v>
      </c>
      <c r="N18" s="5">
        <v>4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4</v>
      </c>
      <c r="Y18" s="5">
        <v>1</v>
      </c>
      <c r="Z18" s="5">
        <v>1</v>
      </c>
      <c r="AA18" s="5">
        <v>1</v>
      </c>
      <c r="AB18" s="5">
        <v>1</v>
      </c>
      <c r="AC18" s="5">
        <v>1</v>
      </c>
      <c r="AD18" s="5">
        <v>1</v>
      </c>
      <c r="AE18" s="5">
        <v>4</v>
      </c>
      <c r="AF18" s="5">
        <v>1</v>
      </c>
      <c r="AG18" s="5">
        <v>1</v>
      </c>
      <c r="AH18" s="7">
        <f t="shared" si="16"/>
        <v>26</v>
      </c>
      <c r="AI18" s="8">
        <f t="shared" si="17"/>
        <v>0</v>
      </c>
      <c r="AJ18" s="9">
        <f t="shared" si="18"/>
        <v>0</v>
      </c>
      <c r="AK18" s="10">
        <f t="shared" si="19"/>
        <v>5</v>
      </c>
      <c r="AL18" s="11">
        <f t="shared" si="20"/>
        <v>0</v>
      </c>
    </row>
    <row r="19" spans="1:38" x14ac:dyDescent="0.35">
      <c r="A19" s="3" t="s">
        <v>65</v>
      </c>
      <c r="B19" s="4" t="s">
        <v>99</v>
      </c>
      <c r="C19" s="5">
        <v>1</v>
      </c>
      <c r="D19" s="5">
        <v>1</v>
      </c>
      <c r="E19" s="5">
        <v>4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4</v>
      </c>
      <c r="M19" s="5">
        <v>1</v>
      </c>
      <c r="N19" s="6">
        <v>1</v>
      </c>
      <c r="O19" s="5">
        <v>1</v>
      </c>
      <c r="P19" s="5">
        <v>1</v>
      </c>
      <c r="Q19" s="5">
        <v>1</v>
      </c>
      <c r="R19" s="5">
        <v>1</v>
      </c>
      <c r="S19" s="5">
        <v>4</v>
      </c>
      <c r="T19" s="5">
        <v>1</v>
      </c>
      <c r="U19" s="5">
        <v>2</v>
      </c>
      <c r="V19" s="5">
        <v>1</v>
      </c>
      <c r="W19" s="5">
        <v>1</v>
      </c>
      <c r="X19" s="5">
        <v>1</v>
      </c>
      <c r="Y19" s="5">
        <v>1</v>
      </c>
      <c r="Z19" s="5">
        <v>4</v>
      </c>
      <c r="AA19" s="5">
        <v>1</v>
      </c>
      <c r="AB19" s="5">
        <v>1</v>
      </c>
      <c r="AC19" s="5">
        <v>1</v>
      </c>
      <c r="AD19" s="5">
        <v>1</v>
      </c>
      <c r="AE19" s="5">
        <v>1</v>
      </c>
      <c r="AF19" s="5">
        <v>1</v>
      </c>
      <c r="AG19" s="5">
        <v>4</v>
      </c>
      <c r="AH19" s="7">
        <f t="shared" si="16"/>
        <v>25</v>
      </c>
      <c r="AI19" s="8">
        <f t="shared" si="17"/>
        <v>1</v>
      </c>
      <c r="AJ19" s="9">
        <f t="shared" si="18"/>
        <v>0</v>
      </c>
      <c r="AK19" s="10">
        <f t="shared" si="19"/>
        <v>5</v>
      </c>
      <c r="AL19" s="11">
        <f t="shared" si="20"/>
        <v>0</v>
      </c>
    </row>
    <row r="20" spans="1:38" x14ac:dyDescent="0.35">
      <c r="A20" s="3" t="s">
        <v>32</v>
      </c>
      <c r="B20" s="4" t="s">
        <v>33</v>
      </c>
      <c r="C20" s="5">
        <v>1</v>
      </c>
      <c r="D20" s="5">
        <v>1</v>
      </c>
      <c r="E20" s="5">
        <v>4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4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4</v>
      </c>
      <c r="T20" s="5">
        <v>1</v>
      </c>
      <c r="U20" s="5">
        <v>1</v>
      </c>
      <c r="V20" s="6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4</v>
      </c>
      <c r="AH20" s="7">
        <f t="shared" si="16"/>
        <v>27</v>
      </c>
      <c r="AI20" s="8">
        <f t="shared" si="17"/>
        <v>0</v>
      </c>
      <c r="AJ20" s="9">
        <f t="shared" si="18"/>
        <v>0</v>
      </c>
      <c r="AK20" s="10">
        <f t="shared" si="19"/>
        <v>4</v>
      </c>
      <c r="AL20" s="11">
        <f t="shared" si="20"/>
        <v>0</v>
      </c>
    </row>
    <row r="21" spans="1:38" x14ac:dyDescent="0.35">
      <c r="A21" s="3" t="s">
        <v>118</v>
      </c>
      <c r="B21" s="4" t="s">
        <v>119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  <c r="W21" s="5"/>
      <c r="X21" s="5"/>
      <c r="Y21" s="5"/>
      <c r="Z21" s="5"/>
      <c r="AA21" s="5"/>
      <c r="AB21" s="5">
        <v>1</v>
      </c>
      <c r="AC21" s="5">
        <v>1</v>
      </c>
      <c r="AD21" s="5">
        <v>1</v>
      </c>
      <c r="AE21" s="5">
        <v>2</v>
      </c>
      <c r="AF21" s="5">
        <v>2</v>
      </c>
      <c r="AG21" s="5">
        <v>1</v>
      </c>
      <c r="AH21" s="7">
        <f t="shared" si="16"/>
        <v>4</v>
      </c>
      <c r="AI21" s="8">
        <f t="shared" si="17"/>
        <v>2</v>
      </c>
      <c r="AJ21" s="9">
        <f t="shared" si="18"/>
        <v>0</v>
      </c>
      <c r="AK21" s="10">
        <f t="shared" si="19"/>
        <v>0</v>
      </c>
      <c r="AL21" s="11">
        <f t="shared" si="20"/>
        <v>0</v>
      </c>
    </row>
    <row r="22" spans="1:38" x14ac:dyDescent="0.35">
      <c r="A22" s="3" t="s">
        <v>117</v>
      </c>
      <c r="B22" s="4" t="s">
        <v>101</v>
      </c>
      <c r="C22" s="5">
        <v>4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4</v>
      </c>
      <c r="K22" s="5">
        <v>1</v>
      </c>
      <c r="L22" s="5">
        <v>4</v>
      </c>
      <c r="M22" s="5">
        <v>1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4</v>
      </c>
      <c r="AH22" s="7">
        <f t="shared" si="16"/>
        <v>27</v>
      </c>
      <c r="AI22" s="8">
        <f t="shared" si="17"/>
        <v>0</v>
      </c>
      <c r="AJ22" s="9">
        <f t="shared" si="18"/>
        <v>0</v>
      </c>
      <c r="AK22" s="10">
        <f t="shared" si="19"/>
        <v>4</v>
      </c>
      <c r="AL22" s="11">
        <f t="shared" si="20"/>
        <v>0</v>
      </c>
    </row>
    <row r="23" spans="1:38" x14ac:dyDescent="0.35">
      <c r="A23" s="3" t="s">
        <v>96</v>
      </c>
      <c r="B23" s="4" t="s">
        <v>104</v>
      </c>
      <c r="C23" s="5">
        <v>3</v>
      </c>
      <c r="D23" s="5">
        <v>1</v>
      </c>
      <c r="E23" s="5">
        <v>4</v>
      </c>
      <c r="F23" s="5">
        <v>1</v>
      </c>
      <c r="G23" s="5">
        <v>3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4</v>
      </c>
      <c r="N23" s="5">
        <v>1</v>
      </c>
      <c r="O23" s="5">
        <v>3</v>
      </c>
      <c r="P23" s="5">
        <v>3</v>
      </c>
      <c r="Q23" s="5">
        <v>1</v>
      </c>
      <c r="R23" s="5">
        <v>1</v>
      </c>
      <c r="S23" s="5">
        <v>1</v>
      </c>
      <c r="T23" s="5">
        <v>4</v>
      </c>
      <c r="U23" s="5">
        <v>1</v>
      </c>
      <c r="V23" s="5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1</v>
      </c>
      <c r="AG23" s="5">
        <v>4</v>
      </c>
      <c r="AH23" s="7">
        <f t="shared" si="16"/>
        <v>23</v>
      </c>
      <c r="AI23" s="8">
        <f t="shared" si="17"/>
        <v>0</v>
      </c>
      <c r="AJ23" s="9">
        <f t="shared" si="18"/>
        <v>4</v>
      </c>
      <c r="AK23" s="10">
        <f t="shared" si="19"/>
        <v>4</v>
      </c>
      <c r="AL23" s="11">
        <f t="shared" si="20"/>
        <v>0</v>
      </c>
    </row>
    <row r="24" spans="1:38" x14ac:dyDescent="0.35">
      <c r="A24" s="3" t="s">
        <v>37</v>
      </c>
      <c r="B24" s="4" t="s">
        <v>38</v>
      </c>
      <c r="C24" s="5">
        <v>1</v>
      </c>
      <c r="D24" s="5">
        <v>1</v>
      </c>
      <c r="E24" s="5">
        <v>4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4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4</v>
      </c>
      <c r="T24" s="5">
        <v>1</v>
      </c>
      <c r="U24" s="5">
        <v>1</v>
      </c>
      <c r="V24" s="5">
        <v>1</v>
      </c>
      <c r="W24" s="5">
        <v>1</v>
      </c>
      <c r="X24" s="5">
        <v>5</v>
      </c>
      <c r="Y24" s="5">
        <v>5</v>
      </c>
      <c r="Z24" s="5">
        <v>4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1</v>
      </c>
      <c r="AG24" s="5">
        <v>4</v>
      </c>
      <c r="AH24" s="7">
        <f t="shared" si="16"/>
        <v>24</v>
      </c>
      <c r="AI24" s="8">
        <f t="shared" si="17"/>
        <v>0</v>
      </c>
      <c r="AJ24" s="9">
        <f t="shared" si="18"/>
        <v>0</v>
      </c>
      <c r="AK24" s="10">
        <f t="shared" si="19"/>
        <v>5</v>
      </c>
      <c r="AL24" s="11">
        <f t="shared" si="20"/>
        <v>2</v>
      </c>
    </row>
    <row r="25" spans="1:38" x14ac:dyDescent="0.35">
      <c r="A25" s="3" t="s">
        <v>69</v>
      </c>
      <c r="B25" s="4" t="s">
        <v>100</v>
      </c>
      <c r="C25" s="5">
        <v>1</v>
      </c>
      <c r="D25" s="5">
        <v>1</v>
      </c>
      <c r="E25" s="5">
        <v>4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4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4</v>
      </c>
      <c r="T25" s="5">
        <v>1</v>
      </c>
      <c r="U25" s="5">
        <v>3</v>
      </c>
      <c r="V25" s="5">
        <v>1</v>
      </c>
      <c r="W25" s="5">
        <v>1</v>
      </c>
      <c r="X25" s="5">
        <v>3</v>
      </c>
      <c r="Y25" s="5">
        <v>3</v>
      </c>
      <c r="Z25" s="5">
        <v>1</v>
      </c>
      <c r="AA25" s="5">
        <v>4</v>
      </c>
      <c r="AB25" s="5">
        <v>1</v>
      </c>
      <c r="AC25" s="5">
        <v>1</v>
      </c>
      <c r="AD25" s="6">
        <v>1</v>
      </c>
      <c r="AE25" s="5">
        <v>1</v>
      </c>
      <c r="AF25" s="5">
        <v>4</v>
      </c>
      <c r="AG25" s="5">
        <v>1</v>
      </c>
      <c r="AH25" s="7">
        <f t="shared" si="16"/>
        <v>23</v>
      </c>
      <c r="AI25" s="8">
        <f t="shared" si="17"/>
        <v>0</v>
      </c>
      <c r="AJ25" s="9">
        <f t="shared" si="18"/>
        <v>3</v>
      </c>
      <c r="AK25" s="10">
        <f t="shared" si="19"/>
        <v>5</v>
      </c>
      <c r="AL25" s="11">
        <f t="shared" si="20"/>
        <v>0</v>
      </c>
    </row>
    <row r="26" spans="1:38" x14ac:dyDescent="0.35">
      <c r="A26" s="3" t="s">
        <v>111</v>
      </c>
      <c r="B26" s="4" t="s">
        <v>112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5">
        <v>1</v>
      </c>
      <c r="AG26" s="5">
        <v>4</v>
      </c>
      <c r="AH26" s="7">
        <f t="shared" si="16"/>
        <v>14</v>
      </c>
      <c r="AI26" s="8">
        <f t="shared" si="17"/>
        <v>0</v>
      </c>
      <c r="AJ26" s="9">
        <f t="shared" si="18"/>
        <v>0</v>
      </c>
      <c r="AK26" s="10">
        <f t="shared" si="19"/>
        <v>1</v>
      </c>
      <c r="AL26" s="11">
        <f t="shared" si="20"/>
        <v>0</v>
      </c>
    </row>
    <row r="27" spans="1:38" x14ac:dyDescent="0.35">
      <c r="A27" s="3" t="s">
        <v>113</v>
      </c>
      <c r="B27" s="4" t="s">
        <v>102</v>
      </c>
      <c r="C27" s="5">
        <v>1</v>
      </c>
      <c r="D27" s="5">
        <v>1</v>
      </c>
      <c r="E27" s="5">
        <v>4</v>
      </c>
      <c r="F27" s="5">
        <v>1</v>
      </c>
      <c r="G27" s="5">
        <v>1</v>
      </c>
      <c r="H27" s="5">
        <v>3</v>
      </c>
      <c r="I27" s="5">
        <v>3</v>
      </c>
      <c r="J27" s="5">
        <v>1</v>
      </c>
      <c r="K27" s="5">
        <v>1</v>
      </c>
      <c r="L27" s="5">
        <v>4</v>
      </c>
      <c r="M27" s="5">
        <v>1</v>
      </c>
      <c r="N27" s="5">
        <v>1</v>
      </c>
      <c r="O27" s="5">
        <v>2</v>
      </c>
      <c r="P27" s="5">
        <v>1</v>
      </c>
      <c r="Q27" s="5">
        <v>1</v>
      </c>
      <c r="R27" s="5">
        <v>1</v>
      </c>
      <c r="S27" s="5">
        <v>4</v>
      </c>
      <c r="T27" s="5">
        <v>1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7">
        <f t="shared" si="16"/>
        <v>12</v>
      </c>
      <c r="AI27" s="8">
        <f t="shared" si="17"/>
        <v>1</v>
      </c>
      <c r="AJ27" s="9">
        <f t="shared" si="18"/>
        <v>2</v>
      </c>
      <c r="AK27" s="10">
        <f t="shared" si="19"/>
        <v>3</v>
      </c>
      <c r="AL27" s="11">
        <f t="shared" si="20"/>
        <v>0</v>
      </c>
    </row>
    <row r="28" spans="1:38" x14ac:dyDescent="0.35">
      <c r="A28" s="4" t="s">
        <v>107</v>
      </c>
      <c r="B28" s="4" t="s">
        <v>52</v>
      </c>
      <c r="C28" s="5">
        <v>3</v>
      </c>
      <c r="D28" s="5">
        <v>3</v>
      </c>
      <c r="E28" s="5">
        <v>3</v>
      </c>
      <c r="F28" s="5">
        <v>1</v>
      </c>
      <c r="G28" s="5">
        <v>1</v>
      </c>
      <c r="H28" s="5">
        <v>1</v>
      </c>
      <c r="I28" s="5">
        <v>1</v>
      </c>
      <c r="J28" s="5">
        <v>4</v>
      </c>
      <c r="K28" s="5">
        <v>3</v>
      </c>
      <c r="L28" s="5">
        <v>3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4</v>
      </c>
      <c r="T28" s="5">
        <v>1</v>
      </c>
      <c r="U28" s="5">
        <v>1</v>
      </c>
      <c r="V28" s="5">
        <v>1</v>
      </c>
      <c r="W28" s="5">
        <v>1</v>
      </c>
      <c r="X28" s="5">
        <v>3</v>
      </c>
      <c r="Y28" s="5">
        <v>3</v>
      </c>
      <c r="Z28" s="5">
        <v>4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4</v>
      </c>
      <c r="AH28" s="7">
        <f t="shared" si="16"/>
        <v>20</v>
      </c>
      <c r="AI28" s="8">
        <f t="shared" si="17"/>
        <v>0</v>
      </c>
      <c r="AJ28" s="9">
        <f t="shared" si="18"/>
        <v>7</v>
      </c>
      <c r="AK28" s="10">
        <f t="shared" si="19"/>
        <v>4</v>
      </c>
      <c r="AL28" s="11">
        <f t="shared" si="20"/>
        <v>0</v>
      </c>
    </row>
    <row r="29" spans="1:38" x14ac:dyDescent="0.35">
      <c r="A29" s="4" t="s">
        <v>42</v>
      </c>
      <c r="B29" s="4" t="s">
        <v>31</v>
      </c>
      <c r="C29" s="5">
        <v>1</v>
      </c>
      <c r="D29" s="5">
        <v>1</v>
      </c>
      <c r="E29" s="5">
        <v>1</v>
      </c>
      <c r="F29" s="5">
        <v>1</v>
      </c>
      <c r="G29" s="5">
        <v>4</v>
      </c>
      <c r="H29" s="5">
        <v>1</v>
      </c>
      <c r="I29" s="5">
        <v>1</v>
      </c>
      <c r="J29" s="5">
        <v>1</v>
      </c>
      <c r="K29" s="5">
        <v>1</v>
      </c>
      <c r="L29" s="5">
        <v>1</v>
      </c>
      <c r="M29" s="5">
        <v>4</v>
      </c>
      <c r="N29" s="5">
        <v>1</v>
      </c>
      <c r="O29" s="5">
        <v>1</v>
      </c>
      <c r="P29" s="5">
        <v>1</v>
      </c>
      <c r="Q29" s="5">
        <v>1</v>
      </c>
      <c r="R29" s="5">
        <v>1</v>
      </c>
      <c r="S29" s="5">
        <v>4</v>
      </c>
      <c r="T29" s="5">
        <v>1</v>
      </c>
      <c r="U29" s="5">
        <v>1</v>
      </c>
      <c r="V29" s="6">
        <v>1</v>
      </c>
      <c r="W29" s="5">
        <v>1</v>
      </c>
      <c r="X29" s="5">
        <v>1</v>
      </c>
      <c r="Y29" s="5">
        <v>1</v>
      </c>
      <c r="Z29" s="5">
        <v>4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1</v>
      </c>
      <c r="AG29" s="5">
        <v>4</v>
      </c>
      <c r="AH29" s="7">
        <f t="shared" si="16"/>
        <v>26</v>
      </c>
      <c r="AI29" s="8">
        <f t="shared" si="17"/>
        <v>0</v>
      </c>
      <c r="AJ29" s="9">
        <f t="shared" si="18"/>
        <v>0</v>
      </c>
      <c r="AK29" s="10">
        <f t="shared" si="19"/>
        <v>5</v>
      </c>
      <c r="AL29" s="11">
        <f t="shared" si="20"/>
        <v>0</v>
      </c>
    </row>
    <row r="30" spans="1:38" x14ac:dyDescent="0.35">
      <c r="A30" s="4" t="s">
        <v>34</v>
      </c>
      <c r="B30" s="4" t="s">
        <v>40</v>
      </c>
      <c r="C30" s="5">
        <v>4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4</v>
      </c>
      <c r="K30" s="5">
        <v>1</v>
      </c>
      <c r="L30" s="5">
        <v>1</v>
      </c>
      <c r="M30" s="6">
        <v>1</v>
      </c>
      <c r="N30" s="5">
        <v>1</v>
      </c>
      <c r="O30" s="5">
        <v>1</v>
      </c>
      <c r="P30" s="5">
        <v>1</v>
      </c>
      <c r="Q30" s="5">
        <v>4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4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6">
        <v>1</v>
      </c>
      <c r="AE30" s="6">
        <v>4</v>
      </c>
      <c r="AF30" s="6">
        <v>1</v>
      </c>
      <c r="AG30" s="6">
        <v>1</v>
      </c>
      <c r="AH30" s="7">
        <f t="shared" ref="AH30" si="21">COUNTIF(C30:AG30,"1")</f>
        <v>26</v>
      </c>
      <c r="AI30" s="8">
        <f t="shared" ref="AI30" si="22">COUNTIF(C30:AG30,"2")</f>
        <v>0</v>
      </c>
      <c r="AJ30" s="9">
        <f t="shared" ref="AJ30" si="23">COUNTIF(C30:AG30,"3")</f>
        <v>0</v>
      </c>
      <c r="AK30" s="10">
        <f t="shared" ref="AK30" si="24">COUNTIF(C30:AG30,"4")</f>
        <v>5</v>
      </c>
      <c r="AL30" s="11">
        <f t="shared" ref="AL30" si="25">COUNTIF(C30:AG30,"5")</f>
        <v>0</v>
      </c>
    </row>
    <row r="31" spans="1:38" x14ac:dyDescent="0.35">
      <c r="A31" s="4" t="s">
        <v>34</v>
      </c>
      <c r="B31" s="4" t="s">
        <v>41</v>
      </c>
      <c r="C31" s="5">
        <v>4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>
        <v>4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1</v>
      </c>
      <c r="Q31" s="5">
        <v>4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4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>
        <v>4</v>
      </c>
      <c r="AF31" s="5">
        <v>1</v>
      </c>
      <c r="AG31" s="5">
        <v>1</v>
      </c>
      <c r="AH31" s="7">
        <f t="shared" si="11"/>
        <v>26</v>
      </c>
      <c r="AI31" s="8">
        <f t="shared" si="12"/>
        <v>0</v>
      </c>
      <c r="AJ31" s="9">
        <f t="shared" si="13"/>
        <v>0</v>
      </c>
      <c r="AK31" s="10">
        <f t="shared" si="14"/>
        <v>5</v>
      </c>
      <c r="AL31" s="11">
        <f t="shared" si="15"/>
        <v>0</v>
      </c>
    </row>
    <row r="40" spans="34:34" x14ac:dyDescent="0.35">
      <c r="AH40" t="s">
        <v>126</v>
      </c>
    </row>
  </sheetData>
  <mergeCells count="8">
    <mergeCell ref="A1:AL1"/>
    <mergeCell ref="A2:A3"/>
    <mergeCell ref="B2:B3"/>
    <mergeCell ref="AH2:AH3"/>
    <mergeCell ref="AI2:AI3"/>
    <mergeCell ref="AJ2:AJ3"/>
    <mergeCell ref="AK2:AK3"/>
    <mergeCell ref="AL2:AL3"/>
  </mergeCells>
  <conditionalFormatting sqref="C4:AG31">
    <cfRule type="cellIs" dxfId="34" priority="1" operator="equal">
      <formula>1</formula>
    </cfRule>
    <cfRule type="cellIs" dxfId="33" priority="2" operator="equal">
      <formula>2</formula>
    </cfRule>
    <cfRule type="cellIs" dxfId="32" priority="3" operator="equal">
      <formula>3</formula>
    </cfRule>
    <cfRule type="cellIs" dxfId="31" priority="4" operator="equal">
      <formula>4</formula>
    </cfRule>
    <cfRule type="cellIs" dxfId="30" priority="5" operator="equal">
      <formula>5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3206B-0818-4004-97B3-C609AE4CA78F}">
  <dimension ref="A1:AK34"/>
  <sheetViews>
    <sheetView zoomScale="50" zoomScaleNormal="50" workbookViewId="0">
      <selection activeCell="B25" sqref="B25"/>
    </sheetView>
  </sheetViews>
  <sheetFormatPr baseColWidth="10" defaultRowHeight="14.5" x14ac:dyDescent="0.35"/>
  <cols>
    <col min="1" max="1" width="57.1796875" customWidth="1"/>
    <col min="2" max="2" width="57.36328125" customWidth="1"/>
    <col min="6" max="6" width="11.26953125" customWidth="1"/>
  </cols>
  <sheetData>
    <row r="1" spans="1:37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 x14ac:dyDescent="0.35">
      <c r="A2" s="23" t="s">
        <v>0</v>
      </c>
      <c r="B2" s="23" t="s">
        <v>127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21" t="s">
        <v>2</v>
      </c>
      <c r="AH2" s="21" t="s">
        <v>156</v>
      </c>
      <c r="AI2" s="21" t="s">
        <v>79</v>
      </c>
      <c r="AJ2" s="21" t="s">
        <v>155</v>
      </c>
      <c r="AK2" s="21" t="s">
        <v>80</v>
      </c>
    </row>
    <row r="3" spans="1:37" x14ac:dyDescent="0.35">
      <c r="A3" s="24"/>
      <c r="B3" s="24"/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3</v>
      </c>
      <c r="P3" s="2" t="s">
        <v>4</v>
      </c>
      <c r="Q3" s="2" t="s">
        <v>5</v>
      </c>
      <c r="R3" s="2" t="s">
        <v>6</v>
      </c>
      <c r="S3" s="2" t="s">
        <v>7</v>
      </c>
      <c r="T3" s="2" t="s">
        <v>8</v>
      </c>
      <c r="U3" s="2" t="s">
        <v>9</v>
      </c>
      <c r="V3" s="2" t="s">
        <v>3</v>
      </c>
      <c r="W3" s="2" t="s">
        <v>4</v>
      </c>
      <c r="X3" s="2" t="s">
        <v>5</v>
      </c>
      <c r="Y3" s="2" t="s">
        <v>6</v>
      </c>
      <c r="Z3" s="2" t="s">
        <v>7</v>
      </c>
      <c r="AA3" s="2" t="s">
        <v>8</v>
      </c>
      <c r="AB3" s="2" t="s">
        <v>9</v>
      </c>
      <c r="AC3" s="2" t="s">
        <v>3</v>
      </c>
      <c r="AD3" s="2" t="s">
        <v>4</v>
      </c>
      <c r="AE3" s="2" t="s">
        <v>5</v>
      </c>
      <c r="AF3" s="2" t="s">
        <v>6</v>
      </c>
      <c r="AG3" s="22"/>
      <c r="AH3" s="22"/>
      <c r="AI3" s="22"/>
      <c r="AJ3" s="22"/>
      <c r="AK3" s="22"/>
    </row>
    <row r="4" spans="1:37" x14ac:dyDescent="0.35">
      <c r="A4" s="12" t="s">
        <v>10</v>
      </c>
      <c r="B4" s="13" t="s">
        <v>11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4</v>
      </c>
      <c r="L4" s="5">
        <v>1</v>
      </c>
      <c r="M4" s="5">
        <v>4</v>
      </c>
      <c r="N4" s="5">
        <v>1</v>
      </c>
      <c r="O4" s="5">
        <v>1</v>
      </c>
      <c r="P4" s="5">
        <v>1</v>
      </c>
      <c r="Q4" s="5">
        <v>1</v>
      </c>
      <c r="R4" s="5">
        <v>4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4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4</v>
      </c>
      <c r="AG4" s="7">
        <f>COUNTIF(C4:AF4,"1")</f>
        <v>25</v>
      </c>
      <c r="AH4" s="8">
        <f>COUNTIF(C4:AF4,"2")</f>
        <v>0</v>
      </c>
      <c r="AI4" s="9">
        <f>COUNTIF(C4:AF4,"3")</f>
        <v>0</v>
      </c>
      <c r="AJ4" s="10">
        <f>COUNTIF(C4:AF4,"4")</f>
        <v>5</v>
      </c>
      <c r="AK4" s="11">
        <f>COUNTIF(C4:AF4,"5")</f>
        <v>0</v>
      </c>
    </row>
    <row r="5" spans="1:37" x14ac:dyDescent="0.35">
      <c r="A5" s="12" t="s">
        <v>108</v>
      </c>
      <c r="B5" s="13" t="s">
        <v>109</v>
      </c>
      <c r="C5" s="5">
        <v>2</v>
      </c>
      <c r="D5" s="5">
        <v>1</v>
      </c>
      <c r="E5" s="5">
        <v>2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4</v>
      </c>
      <c r="N5" s="5">
        <v>4</v>
      </c>
      <c r="O5" s="6">
        <v>1</v>
      </c>
      <c r="P5" s="5">
        <v>4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4</v>
      </c>
      <c r="X5" s="5">
        <v>1</v>
      </c>
      <c r="Y5" s="5">
        <v>1</v>
      </c>
      <c r="Z5" s="5">
        <v>1</v>
      </c>
      <c r="AA5" s="5">
        <v>1</v>
      </c>
      <c r="AB5" s="6">
        <v>1</v>
      </c>
      <c r="AC5" s="5">
        <v>1</v>
      </c>
      <c r="AD5" s="5">
        <v>4</v>
      </c>
      <c r="AE5" s="5">
        <v>1</v>
      </c>
      <c r="AF5" s="5">
        <v>1</v>
      </c>
      <c r="AG5" s="7">
        <f t="shared" ref="AG5:AG33" si="0">COUNTIF(C5:AF5,"1")</f>
        <v>23</v>
      </c>
      <c r="AH5" s="8">
        <f t="shared" ref="AH5:AH33" si="1">COUNTIF(C5:AF5,"2")</f>
        <v>2</v>
      </c>
      <c r="AI5" s="9">
        <f t="shared" ref="AI5:AI33" si="2">COUNTIF(C5:AF5,"3")</f>
        <v>0</v>
      </c>
      <c r="AJ5" s="10">
        <f t="shared" ref="AJ5:AJ33" si="3">COUNTIF(C5:AF5,"4")</f>
        <v>5</v>
      </c>
      <c r="AK5" s="11">
        <f t="shared" ref="AK5:AK33" si="4">COUNTIF(C5:AF5,"5")</f>
        <v>0</v>
      </c>
    </row>
    <row r="6" spans="1:37" x14ac:dyDescent="0.35">
      <c r="A6" s="12" t="s">
        <v>15</v>
      </c>
      <c r="B6" s="13" t="s">
        <v>14</v>
      </c>
      <c r="C6" s="5">
        <v>1</v>
      </c>
      <c r="D6" s="5">
        <v>1</v>
      </c>
      <c r="E6" s="5">
        <v>2</v>
      </c>
      <c r="F6" s="5">
        <v>1</v>
      </c>
      <c r="G6" s="5">
        <v>1</v>
      </c>
      <c r="H6" s="5">
        <v>1</v>
      </c>
      <c r="I6" s="5">
        <v>4</v>
      </c>
      <c r="J6" s="5">
        <v>1</v>
      </c>
      <c r="K6" s="5">
        <v>1</v>
      </c>
      <c r="L6" s="5">
        <v>1</v>
      </c>
      <c r="M6" s="5">
        <v>4</v>
      </c>
      <c r="N6" s="6">
        <v>1</v>
      </c>
      <c r="O6" s="5">
        <v>1</v>
      </c>
      <c r="P6" s="5">
        <v>4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4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4</v>
      </c>
      <c r="AG6" s="7">
        <f t="shared" si="0"/>
        <v>24</v>
      </c>
      <c r="AH6" s="8">
        <f t="shared" si="1"/>
        <v>1</v>
      </c>
      <c r="AI6" s="9">
        <f t="shared" si="2"/>
        <v>0</v>
      </c>
      <c r="AJ6" s="10">
        <f t="shared" si="3"/>
        <v>5</v>
      </c>
      <c r="AK6" s="11">
        <f t="shared" si="4"/>
        <v>0</v>
      </c>
    </row>
    <row r="7" spans="1:37" x14ac:dyDescent="0.35">
      <c r="A7" s="12" t="s">
        <v>16</v>
      </c>
      <c r="B7" s="13" t="s">
        <v>17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4</v>
      </c>
      <c r="J7" s="5">
        <v>1</v>
      </c>
      <c r="K7" s="5">
        <v>1</v>
      </c>
      <c r="L7" s="5">
        <v>1</v>
      </c>
      <c r="M7" s="5">
        <v>4</v>
      </c>
      <c r="N7" s="5">
        <v>1</v>
      </c>
      <c r="O7" s="5">
        <v>1</v>
      </c>
      <c r="P7" s="5">
        <v>4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4</v>
      </c>
      <c r="X7" s="5">
        <v>1</v>
      </c>
      <c r="Y7" s="5">
        <v>1</v>
      </c>
      <c r="Z7" s="6">
        <v>1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4</v>
      </c>
      <c r="AG7" s="7">
        <f t="shared" si="0"/>
        <v>25</v>
      </c>
      <c r="AH7" s="8">
        <f t="shared" si="1"/>
        <v>0</v>
      </c>
      <c r="AI7" s="9">
        <f t="shared" si="2"/>
        <v>0</v>
      </c>
      <c r="AJ7" s="10">
        <f t="shared" si="3"/>
        <v>5</v>
      </c>
      <c r="AK7" s="11">
        <f t="shared" si="4"/>
        <v>0</v>
      </c>
    </row>
    <row r="8" spans="1:37" x14ac:dyDescent="0.35">
      <c r="A8" s="12" t="s">
        <v>125</v>
      </c>
      <c r="B8" s="13" t="s">
        <v>129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4</v>
      </c>
      <c r="J8" s="5">
        <v>1</v>
      </c>
      <c r="K8" s="5">
        <v>1</v>
      </c>
      <c r="L8" s="5">
        <v>1</v>
      </c>
      <c r="M8" s="5">
        <v>4</v>
      </c>
      <c r="N8" s="5">
        <v>1</v>
      </c>
      <c r="O8" s="6">
        <v>1</v>
      </c>
      <c r="P8" s="5">
        <v>4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4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>
        <v>4</v>
      </c>
      <c r="AE8" s="5">
        <v>1</v>
      </c>
      <c r="AF8" s="5">
        <v>1</v>
      </c>
      <c r="AG8" s="7">
        <f t="shared" si="0"/>
        <v>25</v>
      </c>
      <c r="AH8" s="8">
        <f t="shared" si="1"/>
        <v>0</v>
      </c>
      <c r="AI8" s="9">
        <f t="shared" si="2"/>
        <v>0</v>
      </c>
      <c r="AJ8" s="10">
        <f t="shared" si="3"/>
        <v>5</v>
      </c>
      <c r="AK8" s="11">
        <f t="shared" si="4"/>
        <v>0</v>
      </c>
    </row>
    <row r="9" spans="1:37" x14ac:dyDescent="0.35">
      <c r="A9" s="12" t="s">
        <v>147</v>
      </c>
      <c r="B9" s="1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  <c r="P9" s="5"/>
      <c r="Q9" s="5"/>
      <c r="R9" s="5"/>
      <c r="S9" s="5"/>
      <c r="T9" s="5"/>
      <c r="U9" s="6"/>
      <c r="V9" s="5"/>
      <c r="W9" s="5"/>
      <c r="X9" s="5"/>
      <c r="Y9" s="5"/>
      <c r="Z9" s="5"/>
      <c r="AA9" s="5"/>
      <c r="AB9" s="5"/>
      <c r="AC9" s="5">
        <v>1</v>
      </c>
      <c r="AD9" s="5">
        <v>1</v>
      </c>
      <c r="AE9" s="5">
        <v>1</v>
      </c>
      <c r="AF9" s="5">
        <v>1</v>
      </c>
      <c r="AG9" s="7">
        <f t="shared" si="0"/>
        <v>4</v>
      </c>
      <c r="AH9" s="8">
        <f t="shared" si="1"/>
        <v>0</v>
      </c>
      <c r="AI9" s="9">
        <f t="shared" si="2"/>
        <v>0</v>
      </c>
      <c r="AJ9" s="10">
        <f t="shared" si="3"/>
        <v>0</v>
      </c>
      <c r="AK9" s="11">
        <f t="shared" si="4"/>
        <v>0</v>
      </c>
    </row>
    <row r="10" spans="1:37" x14ac:dyDescent="0.35">
      <c r="A10" s="12" t="s">
        <v>135</v>
      </c>
      <c r="B10" s="13"/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4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6">
        <v>1</v>
      </c>
      <c r="V10" s="5">
        <v>1</v>
      </c>
      <c r="W10" s="5">
        <v>4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4</v>
      </c>
      <c r="AE10" s="5">
        <v>1</v>
      </c>
      <c r="AF10" s="5">
        <v>1</v>
      </c>
      <c r="AG10" s="7">
        <f t="shared" si="0"/>
        <v>27</v>
      </c>
      <c r="AH10" s="8">
        <f t="shared" si="1"/>
        <v>0</v>
      </c>
      <c r="AI10" s="9">
        <f t="shared" si="2"/>
        <v>0</v>
      </c>
      <c r="AJ10" s="10">
        <f t="shared" si="3"/>
        <v>3</v>
      </c>
      <c r="AK10" s="11">
        <f t="shared" si="4"/>
        <v>0</v>
      </c>
    </row>
    <row r="11" spans="1:37" x14ac:dyDescent="0.35">
      <c r="A11" s="12" t="s">
        <v>123</v>
      </c>
      <c r="B11" s="13" t="s">
        <v>124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4</v>
      </c>
      <c r="J11" s="5">
        <v>1</v>
      </c>
      <c r="K11" s="5">
        <v>3</v>
      </c>
      <c r="L11" s="5">
        <v>1</v>
      </c>
      <c r="M11" s="5">
        <v>4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2</v>
      </c>
      <c r="T11" s="5">
        <v>1</v>
      </c>
      <c r="U11" s="5">
        <v>1</v>
      </c>
      <c r="V11" s="5">
        <v>1</v>
      </c>
      <c r="W11" s="5">
        <v>4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  <c r="AD11" s="5">
        <v>4</v>
      </c>
      <c r="AE11" s="5">
        <v>1</v>
      </c>
      <c r="AF11" s="5">
        <v>1</v>
      </c>
      <c r="AG11" s="7">
        <f t="shared" si="0"/>
        <v>24</v>
      </c>
      <c r="AH11" s="8">
        <f t="shared" si="1"/>
        <v>1</v>
      </c>
      <c r="AI11" s="9">
        <f t="shared" si="2"/>
        <v>1</v>
      </c>
      <c r="AJ11" s="10">
        <f t="shared" si="3"/>
        <v>4</v>
      </c>
      <c r="AK11" s="11">
        <f t="shared" si="4"/>
        <v>0</v>
      </c>
    </row>
    <row r="12" spans="1:37" x14ac:dyDescent="0.35">
      <c r="A12" s="12" t="s">
        <v>132</v>
      </c>
      <c r="B12" s="13" t="s">
        <v>133</v>
      </c>
      <c r="C12" s="5"/>
      <c r="D12" s="5"/>
      <c r="E12" s="5"/>
      <c r="F12" s="5"/>
      <c r="G12" s="5"/>
      <c r="H12" s="5"/>
      <c r="I12" s="5"/>
      <c r="J12" s="5"/>
      <c r="K12" s="5">
        <v>1</v>
      </c>
      <c r="L12" s="5">
        <v>1</v>
      </c>
      <c r="M12" s="5">
        <v>4</v>
      </c>
      <c r="N12" s="5">
        <v>1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4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4</v>
      </c>
      <c r="AE12" s="5">
        <v>1</v>
      </c>
      <c r="AF12" s="5">
        <v>1</v>
      </c>
      <c r="AG12" s="7">
        <f t="shared" si="0"/>
        <v>19</v>
      </c>
      <c r="AH12" s="8">
        <f t="shared" si="1"/>
        <v>0</v>
      </c>
      <c r="AI12" s="9">
        <f t="shared" si="2"/>
        <v>0</v>
      </c>
      <c r="AJ12" s="10">
        <f t="shared" si="3"/>
        <v>3</v>
      </c>
      <c r="AK12" s="11">
        <f t="shared" si="4"/>
        <v>0</v>
      </c>
    </row>
    <row r="13" spans="1:37" x14ac:dyDescent="0.35">
      <c r="A13" s="12" t="s">
        <v>134</v>
      </c>
      <c r="B13" s="13" t="s">
        <v>130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7">
        <f t="shared" si="0"/>
        <v>5</v>
      </c>
      <c r="AH13" s="8">
        <f t="shared" si="1"/>
        <v>1</v>
      </c>
      <c r="AI13" s="9">
        <f t="shared" si="2"/>
        <v>0</v>
      </c>
      <c r="AJ13" s="10">
        <f t="shared" si="3"/>
        <v>0</v>
      </c>
      <c r="AK13" s="11">
        <f t="shared" si="4"/>
        <v>0</v>
      </c>
    </row>
    <row r="14" spans="1:37" x14ac:dyDescent="0.35">
      <c r="A14" s="12" t="s">
        <v>24</v>
      </c>
      <c r="B14" s="13" t="s">
        <v>25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4</v>
      </c>
      <c r="J14" s="5">
        <v>1</v>
      </c>
      <c r="K14" s="5">
        <v>1</v>
      </c>
      <c r="L14" s="5">
        <v>1</v>
      </c>
      <c r="M14" s="5">
        <v>4</v>
      </c>
      <c r="N14" s="5">
        <v>1</v>
      </c>
      <c r="O14" s="5">
        <v>1</v>
      </c>
      <c r="P14" s="5">
        <v>4</v>
      </c>
      <c r="Q14" s="5">
        <v>1</v>
      </c>
      <c r="R14" s="6">
        <v>1</v>
      </c>
      <c r="S14" s="5">
        <v>1</v>
      </c>
      <c r="T14" s="5">
        <v>1</v>
      </c>
      <c r="U14" s="5">
        <v>1</v>
      </c>
      <c r="V14" s="5">
        <v>1</v>
      </c>
      <c r="W14" s="5">
        <v>4</v>
      </c>
      <c r="X14" s="6">
        <v>1</v>
      </c>
      <c r="Y14" s="5">
        <v>1</v>
      </c>
      <c r="Z14" s="5">
        <v>1</v>
      </c>
      <c r="AA14" s="5">
        <v>1</v>
      </c>
      <c r="AB14" s="5">
        <v>1</v>
      </c>
      <c r="AC14" s="6">
        <v>1</v>
      </c>
      <c r="AD14" s="5">
        <v>1</v>
      </c>
      <c r="AE14" s="5">
        <v>4</v>
      </c>
      <c r="AF14" s="5">
        <v>1</v>
      </c>
      <c r="AG14" s="7">
        <f t="shared" si="0"/>
        <v>25</v>
      </c>
      <c r="AH14" s="8">
        <f t="shared" si="1"/>
        <v>0</v>
      </c>
      <c r="AI14" s="9">
        <f t="shared" si="2"/>
        <v>0</v>
      </c>
      <c r="AJ14" s="10">
        <f t="shared" si="3"/>
        <v>5</v>
      </c>
      <c r="AK14" s="11">
        <f t="shared" si="4"/>
        <v>0</v>
      </c>
    </row>
    <row r="15" spans="1:37" x14ac:dyDescent="0.35">
      <c r="A15" s="12" t="s">
        <v>26</v>
      </c>
      <c r="B15" s="13" t="s">
        <v>27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4</v>
      </c>
      <c r="J15" s="5">
        <v>1</v>
      </c>
      <c r="K15" s="5">
        <v>1</v>
      </c>
      <c r="L15" s="5">
        <v>1</v>
      </c>
      <c r="M15" s="5">
        <v>4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4</v>
      </c>
      <c r="X15" s="5">
        <v>1</v>
      </c>
      <c r="Y15" s="5">
        <v>1</v>
      </c>
      <c r="Z15" s="5">
        <v>3</v>
      </c>
      <c r="AA15" s="5">
        <v>3</v>
      </c>
      <c r="AB15" s="6">
        <v>3</v>
      </c>
      <c r="AC15" s="5">
        <v>1</v>
      </c>
      <c r="AD15" s="5">
        <v>4</v>
      </c>
      <c r="AE15" s="5">
        <v>1</v>
      </c>
      <c r="AF15" s="5">
        <v>1</v>
      </c>
      <c r="AG15" s="7">
        <f t="shared" si="0"/>
        <v>23</v>
      </c>
      <c r="AH15" s="8">
        <f t="shared" si="1"/>
        <v>0</v>
      </c>
      <c r="AI15" s="9">
        <f t="shared" si="2"/>
        <v>3</v>
      </c>
      <c r="AJ15" s="10">
        <f t="shared" si="3"/>
        <v>4</v>
      </c>
      <c r="AK15" s="11">
        <f t="shared" si="4"/>
        <v>0</v>
      </c>
    </row>
    <row r="16" spans="1:37" x14ac:dyDescent="0.35">
      <c r="A16" s="12" t="s">
        <v>28</v>
      </c>
      <c r="B16" s="13" t="s">
        <v>103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4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6">
        <v>4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  <c r="V16" s="5">
        <v>4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4</v>
      </c>
      <c r="AE16" s="5">
        <v>1</v>
      </c>
      <c r="AF16" s="5">
        <v>1</v>
      </c>
      <c r="AG16" s="7">
        <f t="shared" si="0"/>
        <v>26</v>
      </c>
      <c r="AH16" s="8">
        <f t="shared" si="1"/>
        <v>0</v>
      </c>
      <c r="AI16" s="9">
        <f t="shared" si="2"/>
        <v>0</v>
      </c>
      <c r="AJ16" s="10">
        <f t="shared" si="3"/>
        <v>4</v>
      </c>
      <c r="AK16" s="11">
        <f t="shared" si="4"/>
        <v>0</v>
      </c>
    </row>
    <row r="17" spans="1:37" x14ac:dyDescent="0.35">
      <c r="A17" s="12" t="s">
        <v>142</v>
      </c>
      <c r="B17" s="13" t="s">
        <v>30</v>
      </c>
      <c r="C17" s="5">
        <v>1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4</v>
      </c>
      <c r="J17" s="5">
        <v>1</v>
      </c>
      <c r="K17" s="5">
        <v>1</v>
      </c>
      <c r="L17" s="5">
        <v>1</v>
      </c>
      <c r="M17" s="5">
        <v>4</v>
      </c>
      <c r="N17" s="5">
        <v>1</v>
      </c>
      <c r="O17" s="5">
        <v>1</v>
      </c>
      <c r="P17" s="6">
        <v>1</v>
      </c>
      <c r="Q17" s="5">
        <v>4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4</v>
      </c>
      <c r="X17" s="5">
        <v>1</v>
      </c>
      <c r="Y17" s="5">
        <v>1</v>
      </c>
      <c r="Z17" s="5">
        <v>1</v>
      </c>
      <c r="AA17" s="5">
        <v>1</v>
      </c>
      <c r="AB17" s="5">
        <v>1</v>
      </c>
      <c r="AC17" s="6">
        <v>1</v>
      </c>
      <c r="AD17" s="5">
        <v>1</v>
      </c>
      <c r="AE17" s="5">
        <v>1</v>
      </c>
      <c r="AF17" s="5">
        <v>1</v>
      </c>
      <c r="AG17" s="7">
        <f t="shared" si="0"/>
        <v>26</v>
      </c>
      <c r="AH17" s="8">
        <f t="shared" si="1"/>
        <v>0</v>
      </c>
      <c r="AI17" s="9">
        <f t="shared" si="2"/>
        <v>0</v>
      </c>
      <c r="AJ17" s="10">
        <f t="shared" si="3"/>
        <v>4</v>
      </c>
      <c r="AK17" s="11">
        <f t="shared" si="4"/>
        <v>0</v>
      </c>
    </row>
    <row r="18" spans="1:37" x14ac:dyDescent="0.35">
      <c r="A18" s="12" t="s">
        <v>39</v>
      </c>
      <c r="B18" s="13" t="s">
        <v>43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4</v>
      </c>
      <c r="I18" s="5">
        <v>3</v>
      </c>
      <c r="J18" s="5">
        <v>3</v>
      </c>
      <c r="K18" s="5">
        <v>3</v>
      </c>
      <c r="L18" s="5">
        <v>3</v>
      </c>
      <c r="M18" s="5">
        <v>3</v>
      </c>
      <c r="N18" s="5">
        <v>3</v>
      </c>
      <c r="O18" s="5">
        <v>3</v>
      </c>
      <c r="P18" s="5">
        <v>3</v>
      </c>
      <c r="Q18" s="5">
        <v>3</v>
      </c>
      <c r="R18" s="5">
        <v>3</v>
      </c>
      <c r="S18" s="5">
        <v>3</v>
      </c>
      <c r="T18" s="5">
        <v>3</v>
      </c>
      <c r="U18" s="5">
        <v>3</v>
      </c>
      <c r="V18" s="5">
        <v>3</v>
      </c>
      <c r="W18" s="5">
        <v>3</v>
      </c>
      <c r="X18" s="5">
        <v>1</v>
      </c>
      <c r="Y18" s="6">
        <v>1</v>
      </c>
      <c r="Z18" s="5">
        <v>1</v>
      </c>
      <c r="AA18" s="5">
        <v>1</v>
      </c>
      <c r="AB18" s="5">
        <v>4</v>
      </c>
      <c r="AC18" s="5">
        <v>1</v>
      </c>
      <c r="AD18" s="5">
        <v>1</v>
      </c>
      <c r="AE18" s="5">
        <v>1</v>
      </c>
      <c r="AF18" s="5">
        <v>1</v>
      </c>
      <c r="AG18" s="7">
        <f t="shared" si="0"/>
        <v>13</v>
      </c>
      <c r="AH18" s="8">
        <f t="shared" si="1"/>
        <v>0</v>
      </c>
      <c r="AI18" s="9">
        <f t="shared" si="2"/>
        <v>15</v>
      </c>
      <c r="AJ18" s="10">
        <f>COUNTIF(C18:AF18,"4")</f>
        <v>2</v>
      </c>
      <c r="AK18" s="11">
        <f t="shared" si="4"/>
        <v>0</v>
      </c>
    </row>
    <row r="19" spans="1:37" x14ac:dyDescent="0.35">
      <c r="A19" s="12" t="s">
        <v>141</v>
      </c>
      <c r="B19" s="13" t="s">
        <v>140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6"/>
      <c r="O19" s="5"/>
      <c r="P19" s="5"/>
      <c r="Q19" s="5"/>
      <c r="R19" s="5"/>
      <c r="S19" s="5"/>
      <c r="T19" s="5"/>
      <c r="U19" s="5"/>
      <c r="V19" s="5"/>
      <c r="W19" s="5"/>
      <c r="X19" s="5">
        <v>1</v>
      </c>
      <c r="Y19" s="5">
        <v>1</v>
      </c>
      <c r="Z19" s="5">
        <v>1</v>
      </c>
      <c r="AA19" s="6">
        <v>1</v>
      </c>
      <c r="AB19" s="5">
        <v>1</v>
      </c>
      <c r="AC19" s="5">
        <v>1</v>
      </c>
      <c r="AD19" s="5">
        <v>4</v>
      </c>
      <c r="AE19" s="5">
        <v>1</v>
      </c>
      <c r="AF19" s="6">
        <v>3</v>
      </c>
      <c r="AG19" s="7">
        <f t="shared" si="0"/>
        <v>7</v>
      </c>
      <c r="AH19" s="8">
        <f t="shared" si="1"/>
        <v>0</v>
      </c>
      <c r="AI19" s="9">
        <f t="shared" si="2"/>
        <v>1</v>
      </c>
      <c r="AJ19" s="10">
        <f>COUNTIF(C19:AF19,"4")</f>
        <v>1</v>
      </c>
      <c r="AK19" s="11">
        <f t="shared" si="4"/>
        <v>0</v>
      </c>
    </row>
    <row r="20" spans="1:37" x14ac:dyDescent="0.35">
      <c r="A20" s="12" t="s">
        <v>65</v>
      </c>
      <c r="B20" s="13" t="s">
        <v>99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4</v>
      </c>
      <c r="J20" s="5">
        <v>1</v>
      </c>
      <c r="K20" s="5">
        <v>1</v>
      </c>
      <c r="L20" s="5">
        <v>1</v>
      </c>
      <c r="M20" s="5">
        <v>4</v>
      </c>
      <c r="N20" s="6">
        <v>1</v>
      </c>
      <c r="O20" s="5">
        <v>1</v>
      </c>
      <c r="P20" s="5">
        <v>4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4</v>
      </c>
      <c r="Y20" s="5">
        <v>1</v>
      </c>
      <c r="Z20" s="5">
        <v>1</v>
      </c>
      <c r="AA20" s="5">
        <v>1</v>
      </c>
      <c r="AB20" s="5">
        <v>1</v>
      </c>
      <c r="AC20" s="5">
        <v>1</v>
      </c>
      <c r="AD20" s="5">
        <v>4</v>
      </c>
      <c r="AE20" s="5">
        <v>1</v>
      </c>
      <c r="AF20" s="5">
        <v>1</v>
      </c>
      <c r="AG20" s="7">
        <f>COUNTIF(C20:AF20,"1")</f>
        <v>25</v>
      </c>
      <c r="AH20" s="8">
        <f>COUNTIF(C20:AF20,"2")</f>
        <v>0</v>
      </c>
      <c r="AI20" s="9">
        <f>COUNTIF(C20:AF20,"3")</f>
        <v>0</v>
      </c>
      <c r="AJ20" s="10">
        <f>COUNTIF(C20:AF20,"4")</f>
        <v>5</v>
      </c>
      <c r="AK20" s="11">
        <f>COUNTIF(C20:AF20,"5")</f>
        <v>0</v>
      </c>
    </row>
    <row r="21" spans="1:37" x14ac:dyDescent="0.35">
      <c r="A21" s="12" t="s">
        <v>32</v>
      </c>
      <c r="B21" s="13" t="s">
        <v>33</v>
      </c>
      <c r="C21" s="5">
        <v>1</v>
      </c>
      <c r="D21" s="5">
        <v>1</v>
      </c>
      <c r="E21" s="5">
        <v>2</v>
      </c>
      <c r="F21" s="5">
        <v>1</v>
      </c>
      <c r="G21" s="5">
        <v>1</v>
      </c>
      <c r="H21" s="5">
        <v>5</v>
      </c>
      <c r="I21" s="5">
        <v>4</v>
      </c>
      <c r="J21" s="5">
        <v>1</v>
      </c>
      <c r="K21" s="5">
        <v>1</v>
      </c>
      <c r="L21" s="5">
        <v>1</v>
      </c>
      <c r="M21" s="5">
        <v>4</v>
      </c>
      <c r="N21" s="5">
        <v>1</v>
      </c>
      <c r="O21" s="5">
        <v>1</v>
      </c>
      <c r="P21" s="5">
        <v>4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4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4</v>
      </c>
      <c r="AE21" s="5">
        <v>1</v>
      </c>
      <c r="AF21" s="5">
        <v>1</v>
      </c>
      <c r="AG21" s="7">
        <f t="shared" si="0"/>
        <v>23</v>
      </c>
      <c r="AH21" s="8">
        <f t="shared" si="1"/>
        <v>1</v>
      </c>
      <c r="AI21" s="9">
        <f t="shared" si="2"/>
        <v>0</v>
      </c>
      <c r="AJ21" s="10">
        <f t="shared" si="3"/>
        <v>5</v>
      </c>
      <c r="AK21" s="11">
        <f t="shared" si="4"/>
        <v>1</v>
      </c>
    </row>
    <row r="22" spans="1:37" x14ac:dyDescent="0.35">
      <c r="A22" s="12" t="s">
        <v>128</v>
      </c>
      <c r="B22" s="13" t="s">
        <v>119</v>
      </c>
      <c r="C22" s="5">
        <v>4</v>
      </c>
      <c r="D22" s="5">
        <v>2</v>
      </c>
      <c r="E22" s="5">
        <v>2</v>
      </c>
      <c r="F22" s="5">
        <v>2</v>
      </c>
      <c r="G22" s="5">
        <v>2</v>
      </c>
      <c r="H22" s="5">
        <v>1</v>
      </c>
      <c r="I22" s="5">
        <v>1</v>
      </c>
      <c r="J22" s="5">
        <v>4</v>
      </c>
      <c r="K22" s="5">
        <v>1</v>
      </c>
      <c r="L22" s="5">
        <v>3</v>
      </c>
      <c r="M22" s="5">
        <v>3</v>
      </c>
      <c r="N22" s="5">
        <v>2</v>
      </c>
      <c r="O22" s="5">
        <v>2</v>
      </c>
      <c r="P22" s="5">
        <v>2</v>
      </c>
      <c r="Q22" s="5">
        <v>11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7">
        <f t="shared" si="0"/>
        <v>3</v>
      </c>
      <c r="AH22" s="8">
        <f t="shared" si="1"/>
        <v>7</v>
      </c>
      <c r="AI22" s="9">
        <f t="shared" si="2"/>
        <v>2</v>
      </c>
      <c r="AJ22" s="10">
        <f t="shared" si="3"/>
        <v>2</v>
      </c>
      <c r="AK22" s="11">
        <f t="shared" si="4"/>
        <v>0</v>
      </c>
    </row>
    <row r="23" spans="1:37" x14ac:dyDescent="0.35">
      <c r="A23" s="12" t="s">
        <v>121</v>
      </c>
      <c r="B23" s="13" t="s">
        <v>138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6"/>
      <c r="O23" s="5"/>
      <c r="P23" s="5"/>
      <c r="Q23" s="5"/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4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4</v>
      </c>
      <c r="AE23" s="5">
        <v>1</v>
      </c>
      <c r="AF23" s="5">
        <v>1</v>
      </c>
      <c r="AG23" s="7">
        <f t="shared" si="0"/>
        <v>13</v>
      </c>
      <c r="AH23" s="8">
        <f t="shared" si="1"/>
        <v>0</v>
      </c>
      <c r="AI23" s="9">
        <f t="shared" si="2"/>
        <v>0</v>
      </c>
      <c r="AJ23" s="10">
        <f>COUNTIF(C22:AF22,"4")</f>
        <v>2</v>
      </c>
      <c r="AK23" s="11">
        <f t="shared" si="4"/>
        <v>0</v>
      </c>
    </row>
    <row r="24" spans="1:37" x14ac:dyDescent="0.35">
      <c r="A24" s="12" t="s">
        <v>121</v>
      </c>
      <c r="B24" s="13" t="s">
        <v>91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4</v>
      </c>
      <c r="J24" s="5">
        <v>1</v>
      </c>
      <c r="K24" s="5">
        <v>1</v>
      </c>
      <c r="L24" s="5">
        <v>1</v>
      </c>
      <c r="M24" s="5">
        <v>4</v>
      </c>
      <c r="N24" s="6">
        <v>1</v>
      </c>
      <c r="O24" s="5">
        <v>1</v>
      </c>
      <c r="P24" s="5">
        <v>4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1</v>
      </c>
      <c r="AD24" s="5">
        <v>4</v>
      </c>
      <c r="AE24" s="5"/>
      <c r="AF24" s="5"/>
      <c r="AG24" s="7">
        <f t="shared" si="0"/>
        <v>24</v>
      </c>
      <c r="AH24" s="8">
        <f t="shared" si="1"/>
        <v>0</v>
      </c>
      <c r="AI24" s="9">
        <f t="shared" si="2"/>
        <v>0</v>
      </c>
      <c r="AJ24" s="10">
        <f t="shared" si="3"/>
        <v>4</v>
      </c>
      <c r="AK24" s="11">
        <f t="shared" si="4"/>
        <v>0</v>
      </c>
    </row>
    <row r="25" spans="1:37" x14ac:dyDescent="0.35">
      <c r="A25" s="12" t="s">
        <v>96</v>
      </c>
      <c r="B25" s="13" t="s">
        <v>50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4</v>
      </c>
      <c r="J25" s="5">
        <v>1</v>
      </c>
      <c r="K25" s="5">
        <v>1</v>
      </c>
      <c r="L25" s="5">
        <v>1</v>
      </c>
      <c r="M25" s="5">
        <v>4</v>
      </c>
      <c r="N25" s="5">
        <v>1</v>
      </c>
      <c r="O25" s="6">
        <v>1</v>
      </c>
      <c r="P25" s="5">
        <v>4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>
        <v>1</v>
      </c>
      <c r="AD25" s="5">
        <v>1</v>
      </c>
      <c r="AE25" s="5">
        <v>4</v>
      </c>
      <c r="AF25" s="5">
        <v>3</v>
      </c>
      <c r="AG25" s="7">
        <f t="shared" si="0"/>
        <v>25</v>
      </c>
      <c r="AH25" s="8">
        <f t="shared" si="1"/>
        <v>0</v>
      </c>
      <c r="AI25" s="9">
        <f t="shared" si="2"/>
        <v>1</v>
      </c>
      <c r="AJ25" s="10">
        <f t="shared" si="3"/>
        <v>4</v>
      </c>
      <c r="AK25" s="11">
        <f t="shared" si="4"/>
        <v>0</v>
      </c>
    </row>
    <row r="26" spans="1:37" x14ac:dyDescent="0.35">
      <c r="A26" s="12" t="s">
        <v>37</v>
      </c>
      <c r="B26" s="13" t="s">
        <v>38</v>
      </c>
      <c r="C26" s="5">
        <v>1</v>
      </c>
      <c r="D26" s="5">
        <v>1</v>
      </c>
      <c r="E26" s="5">
        <v>2</v>
      </c>
      <c r="F26" s="5">
        <v>1</v>
      </c>
      <c r="G26" s="5">
        <v>1</v>
      </c>
      <c r="H26" s="5">
        <v>1</v>
      </c>
      <c r="I26" s="5">
        <v>4</v>
      </c>
      <c r="J26" s="5">
        <v>1</v>
      </c>
      <c r="K26" s="5">
        <v>1</v>
      </c>
      <c r="L26" s="5">
        <v>1</v>
      </c>
      <c r="M26" s="5">
        <v>4</v>
      </c>
      <c r="N26" s="5">
        <v>1</v>
      </c>
      <c r="O26" s="5">
        <v>1</v>
      </c>
      <c r="P26" s="5">
        <v>4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  <c r="V26" s="5">
        <v>1</v>
      </c>
      <c r="W26" s="6">
        <v>4</v>
      </c>
      <c r="X26" s="5">
        <v>5</v>
      </c>
      <c r="Y26" s="5">
        <v>5</v>
      </c>
      <c r="Z26" s="5">
        <v>1</v>
      </c>
      <c r="AA26" s="6">
        <v>1</v>
      </c>
      <c r="AB26" s="5">
        <v>1</v>
      </c>
      <c r="AC26" s="5">
        <v>1</v>
      </c>
      <c r="AD26" s="5">
        <v>4</v>
      </c>
      <c r="AE26" s="5">
        <v>1</v>
      </c>
      <c r="AF26" s="5">
        <v>1</v>
      </c>
      <c r="AG26" s="7">
        <f t="shared" si="0"/>
        <v>22</v>
      </c>
      <c r="AH26" s="8">
        <f t="shared" si="1"/>
        <v>1</v>
      </c>
      <c r="AI26" s="9">
        <f t="shared" si="2"/>
        <v>0</v>
      </c>
      <c r="AJ26" s="10">
        <f t="shared" si="3"/>
        <v>5</v>
      </c>
      <c r="AK26" s="11">
        <f t="shared" si="4"/>
        <v>2</v>
      </c>
    </row>
    <row r="27" spans="1:37" x14ac:dyDescent="0.35">
      <c r="A27" s="12" t="s">
        <v>69</v>
      </c>
      <c r="B27" s="13" t="s">
        <v>100</v>
      </c>
      <c r="C27" s="5">
        <v>1</v>
      </c>
      <c r="D27" s="5">
        <v>1</v>
      </c>
      <c r="E27" s="5">
        <v>2</v>
      </c>
      <c r="F27" s="5">
        <v>1</v>
      </c>
      <c r="G27" s="5">
        <v>2</v>
      </c>
      <c r="H27" s="5">
        <v>1</v>
      </c>
      <c r="I27" s="5">
        <v>4</v>
      </c>
      <c r="J27" s="5">
        <v>1</v>
      </c>
      <c r="K27" s="5">
        <v>1</v>
      </c>
      <c r="L27" s="5">
        <v>1</v>
      </c>
      <c r="M27" s="5">
        <v>4</v>
      </c>
      <c r="N27" s="6">
        <v>1</v>
      </c>
      <c r="O27" s="5">
        <v>1</v>
      </c>
      <c r="P27" s="5">
        <v>4</v>
      </c>
      <c r="Q27" s="6">
        <v>1</v>
      </c>
      <c r="R27" s="5">
        <v>3</v>
      </c>
      <c r="S27" s="5">
        <v>3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3</v>
      </c>
      <c r="Z27" s="5">
        <v>4</v>
      </c>
      <c r="AA27" s="5">
        <v>1</v>
      </c>
      <c r="AB27" s="5">
        <v>2</v>
      </c>
      <c r="AC27" s="5">
        <v>1</v>
      </c>
      <c r="AD27" s="5">
        <v>4</v>
      </c>
      <c r="AE27" s="5">
        <v>1</v>
      </c>
      <c r="AF27" s="5">
        <v>3</v>
      </c>
      <c r="AG27" s="7">
        <f t="shared" si="0"/>
        <v>18</v>
      </c>
      <c r="AH27" s="8">
        <f t="shared" si="1"/>
        <v>3</v>
      </c>
      <c r="AI27" s="9">
        <f t="shared" si="2"/>
        <v>4</v>
      </c>
      <c r="AJ27" s="10">
        <f t="shared" si="3"/>
        <v>5</v>
      </c>
      <c r="AK27" s="11">
        <f t="shared" si="4"/>
        <v>0</v>
      </c>
    </row>
    <row r="28" spans="1:37" x14ac:dyDescent="0.35">
      <c r="A28" s="12" t="s">
        <v>144</v>
      </c>
      <c r="B28" s="13" t="s">
        <v>137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>
        <v>4</v>
      </c>
      <c r="J28" s="5">
        <v>3</v>
      </c>
      <c r="K28" s="5">
        <v>3</v>
      </c>
      <c r="L28" s="5">
        <v>1</v>
      </c>
      <c r="M28" s="5">
        <v>4</v>
      </c>
      <c r="N28" s="5">
        <v>1</v>
      </c>
      <c r="O28" s="6">
        <v>1</v>
      </c>
      <c r="P28" s="5">
        <v>4</v>
      </c>
      <c r="Q28" s="5">
        <v>1</v>
      </c>
      <c r="R28" s="5">
        <v>1</v>
      </c>
      <c r="S28" s="5">
        <v>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7">
        <f t="shared" si="0"/>
        <v>12</v>
      </c>
      <c r="AH28" s="8">
        <f t="shared" si="1"/>
        <v>0</v>
      </c>
      <c r="AI28" s="9">
        <f t="shared" si="2"/>
        <v>2</v>
      </c>
      <c r="AJ28" s="10">
        <f t="shared" si="3"/>
        <v>3</v>
      </c>
      <c r="AK28" s="11">
        <f t="shared" si="4"/>
        <v>0</v>
      </c>
    </row>
    <row r="29" spans="1:37" x14ac:dyDescent="0.35">
      <c r="A29" s="12" t="s">
        <v>107</v>
      </c>
      <c r="B29" s="13" t="s">
        <v>139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>
        <v>4</v>
      </c>
      <c r="J29" s="5">
        <v>1</v>
      </c>
      <c r="K29" s="5">
        <v>1</v>
      </c>
      <c r="L29" s="5">
        <v>1</v>
      </c>
      <c r="M29" s="5">
        <v>4</v>
      </c>
      <c r="N29" s="5">
        <v>4</v>
      </c>
      <c r="O29" s="5">
        <v>3</v>
      </c>
      <c r="P29" s="5">
        <v>3</v>
      </c>
      <c r="Q29" s="5">
        <v>1</v>
      </c>
      <c r="R29" s="5">
        <v>1</v>
      </c>
      <c r="S29" s="5">
        <v>3</v>
      </c>
      <c r="T29" s="5">
        <v>3</v>
      </c>
      <c r="U29" s="5">
        <v>4</v>
      </c>
      <c r="V29" s="6">
        <v>1</v>
      </c>
      <c r="W29" s="6">
        <v>1</v>
      </c>
      <c r="X29" s="5"/>
      <c r="Y29" s="5"/>
      <c r="Z29" s="5"/>
      <c r="AA29" s="5"/>
      <c r="AC29" s="5"/>
      <c r="AD29" s="5"/>
      <c r="AE29" s="5"/>
      <c r="AF29" s="5"/>
      <c r="AG29" s="7">
        <f t="shared" si="0"/>
        <v>13</v>
      </c>
      <c r="AH29" s="8">
        <f t="shared" si="1"/>
        <v>0</v>
      </c>
      <c r="AI29" s="9">
        <f t="shared" si="2"/>
        <v>4</v>
      </c>
      <c r="AJ29" s="10">
        <f t="shared" si="3"/>
        <v>4</v>
      </c>
      <c r="AK29" s="11">
        <f t="shared" si="4"/>
        <v>0</v>
      </c>
    </row>
    <row r="30" spans="1:37" x14ac:dyDescent="0.35">
      <c r="A30" s="13" t="s">
        <v>131</v>
      </c>
      <c r="B30" s="13" t="s">
        <v>136</v>
      </c>
      <c r="C30" s="5"/>
      <c r="D30" s="5"/>
      <c r="E30" s="5"/>
      <c r="F30" s="5"/>
      <c r="G30" s="5"/>
      <c r="H30" s="5"/>
      <c r="I30" s="5"/>
      <c r="J30" s="5"/>
      <c r="K30" s="5">
        <v>1</v>
      </c>
      <c r="L30" s="5">
        <v>1</v>
      </c>
      <c r="M30" s="5">
        <v>4</v>
      </c>
      <c r="N30" s="5">
        <v>1</v>
      </c>
      <c r="O30" s="5">
        <v>2</v>
      </c>
      <c r="P30" s="5">
        <v>1</v>
      </c>
      <c r="Q30" s="5">
        <v>1</v>
      </c>
      <c r="R30" s="5">
        <v>1</v>
      </c>
      <c r="S30" s="5">
        <v>1</v>
      </c>
      <c r="T30" s="5">
        <v>2</v>
      </c>
      <c r="U30" s="5">
        <v>4</v>
      </c>
      <c r="V30" s="5">
        <v>1</v>
      </c>
      <c r="W30" s="5">
        <v>1</v>
      </c>
      <c r="X30" s="5">
        <v>1</v>
      </c>
      <c r="Y30" s="5">
        <v>1</v>
      </c>
      <c r="Z30" s="5">
        <v>2</v>
      </c>
      <c r="AA30" s="5">
        <v>1</v>
      </c>
      <c r="AB30" s="6">
        <v>4</v>
      </c>
      <c r="AC30" s="5">
        <v>3</v>
      </c>
      <c r="AD30" s="5">
        <v>1</v>
      </c>
      <c r="AE30" s="5">
        <v>1</v>
      </c>
      <c r="AF30" s="5">
        <v>1</v>
      </c>
      <c r="AG30" s="7">
        <f t="shared" si="0"/>
        <v>15</v>
      </c>
      <c r="AH30" s="8">
        <f t="shared" si="1"/>
        <v>3</v>
      </c>
      <c r="AI30" s="9">
        <f t="shared" si="2"/>
        <v>1</v>
      </c>
      <c r="AJ30" s="10">
        <f t="shared" si="3"/>
        <v>3</v>
      </c>
      <c r="AK30" s="11">
        <f t="shared" si="4"/>
        <v>0</v>
      </c>
    </row>
    <row r="31" spans="1:37" x14ac:dyDescent="0.35">
      <c r="A31" s="13" t="s">
        <v>42</v>
      </c>
      <c r="B31" s="13" t="s">
        <v>31</v>
      </c>
      <c r="C31" s="5">
        <v>1</v>
      </c>
      <c r="D31" s="5">
        <v>1</v>
      </c>
      <c r="E31" s="5">
        <v>2</v>
      </c>
      <c r="F31" s="5">
        <v>1</v>
      </c>
      <c r="G31" s="5">
        <v>1</v>
      </c>
      <c r="H31" s="5">
        <v>1</v>
      </c>
      <c r="I31" s="5">
        <v>4</v>
      </c>
      <c r="J31" s="5">
        <v>1</v>
      </c>
      <c r="K31" s="5">
        <v>1</v>
      </c>
      <c r="L31" s="5">
        <v>1</v>
      </c>
      <c r="M31" s="5">
        <v>4</v>
      </c>
      <c r="N31" s="5">
        <v>1</v>
      </c>
      <c r="O31" s="5">
        <v>1</v>
      </c>
      <c r="P31" s="5">
        <v>4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4</v>
      </c>
      <c r="W31" s="5">
        <v>1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4</v>
      </c>
      <c r="AE31" s="5">
        <v>1</v>
      </c>
      <c r="AF31" s="5">
        <v>1</v>
      </c>
      <c r="AG31" s="7">
        <f t="shared" si="0"/>
        <v>24</v>
      </c>
      <c r="AH31" s="8">
        <f t="shared" si="1"/>
        <v>1</v>
      </c>
      <c r="AI31" s="9">
        <f t="shared" si="2"/>
        <v>0</v>
      </c>
      <c r="AJ31" s="10">
        <f t="shared" si="3"/>
        <v>5</v>
      </c>
      <c r="AK31" s="11">
        <f t="shared" si="4"/>
        <v>0</v>
      </c>
    </row>
    <row r="32" spans="1:37" x14ac:dyDescent="0.35">
      <c r="A32" s="13" t="s">
        <v>34</v>
      </c>
      <c r="B32" s="13" t="s">
        <v>40</v>
      </c>
      <c r="C32" s="5">
        <v>1</v>
      </c>
      <c r="D32" s="5">
        <v>1</v>
      </c>
      <c r="E32" s="5">
        <v>1</v>
      </c>
      <c r="F32" s="5">
        <v>1</v>
      </c>
      <c r="G32" s="5">
        <v>4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6">
        <v>4</v>
      </c>
      <c r="N32" s="5">
        <v>4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5">
        <v>4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4</v>
      </c>
      <c r="AC32" s="5">
        <v>1</v>
      </c>
      <c r="AD32" s="6">
        <v>1</v>
      </c>
      <c r="AE32" s="6">
        <v>1</v>
      </c>
      <c r="AF32" s="6">
        <v>1</v>
      </c>
      <c r="AG32" s="7">
        <f t="shared" si="0"/>
        <v>25</v>
      </c>
      <c r="AH32" s="8">
        <f t="shared" si="1"/>
        <v>0</v>
      </c>
      <c r="AI32" s="9">
        <f t="shared" si="2"/>
        <v>0</v>
      </c>
      <c r="AJ32" s="10">
        <f t="shared" si="3"/>
        <v>5</v>
      </c>
      <c r="AK32" s="11">
        <f t="shared" si="4"/>
        <v>0</v>
      </c>
    </row>
    <row r="33" spans="1:37" x14ac:dyDescent="0.35">
      <c r="A33" s="13" t="s">
        <v>34</v>
      </c>
      <c r="B33" s="13" t="s">
        <v>41</v>
      </c>
      <c r="C33" s="5">
        <v>1</v>
      </c>
      <c r="D33" s="5">
        <v>1</v>
      </c>
      <c r="E33" s="5">
        <v>1</v>
      </c>
      <c r="F33" s="5">
        <v>1</v>
      </c>
      <c r="G33" s="5">
        <v>4</v>
      </c>
      <c r="H33" s="5">
        <v>1</v>
      </c>
      <c r="I33" s="5">
        <v>1</v>
      </c>
      <c r="J33" s="5">
        <v>1</v>
      </c>
      <c r="K33" s="5">
        <v>1</v>
      </c>
      <c r="L33" s="5">
        <v>1</v>
      </c>
      <c r="M33" s="5">
        <v>4</v>
      </c>
      <c r="N33" s="5">
        <v>4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s="5">
        <v>1</v>
      </c>
      <c r="U33" s="5">
        <v>4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4</v>
      </c>
      <c r="AC33" s="5">
        <v>1</v>
      </c>
      <c r="AD33" s="5">
        <v>1</v>
      </c>
      <c r="AE33" s="5">
        <v>1</v>
      </c>
      <c r="AF33" s="5">
        <v>3</v>
      </c>
      <c r="AG33" s="7">
        <f t="shared" si="0"/>
        <v>24</v>
      </c>
      <c r="AH33" s="8">
        <f t="shared" si="1"/>
        <v>0</v>
      </c>
      <c r="AI33" s="9">
        <f t="shared" si="2"/>
        <v>1</v>
      </c>
      <c r="AJ33" s="10">
        <f t="shared" si="3"/>
        <v>5</v>
      </c>
      <c r="AK33" s="11">
        <f t="shared" si="4"/>
        <v>0</v>
      </c>
    </row>
    <row r="34" spans="1:37" x14ac:dyDescent="0.35">
      <c r="T34" s="5"/>
    </row>
  </sheetData>
  <mergeCells count="8">
    <mergeCell ref="A1:AK1"/>
    <mergeCell ref="A2:A3"/>
    <mergeCell ref="B2:B3"/>
    <mergeCell ref="AG2:AG3"/>
    <mergeCell ref="AH2:AH3"/>
    <mergeCell ref="AI2:AI3"/>
    <mergeCell ref="AJ2:AJ3"/>
    <mergeCell ref="AK2:AK3"/>
  </mergeCells>
  <phoneticPr fontId="5" type="noConversion"/>
  <conditionalFormatting sqref="C4:AF28 W29:AA30 C29:V31 AC29:AF33 AB30 W31:AB32 U32:V32 C32:S33 T32:T34 U33:AB33">
    <cfRule type="cellIs" dxfId="29" priority="1" operator="equal">
      <formula>1</formula>
    </cfRule>
    <cfRule type="cellIs" dxfId="28" priority="2" operator="equal">
      <formula>2</formula>
    </cfRule>
    <cfRule type="cellIs" dxfId="27" priority="3" operator="equal">
      <formula>3</formula>
    </cfRule>
    <cfRule type="cellIs" dxfId="26" priority="4" operator="equal">
      <formula>4</formula>
    </cfRule>
    <cfRule type="cellIs" dxfId="25" priority="5" operator="equal">
      <formula>5</formula>
    </cfRule>
  </conditionalFormatting>
  <pageMargins left="0.7" right="0.7" top="0.75" bottom="0.75" header="0.3" footer="0.3"/>
  <pageSetup orientation="portrait" r:id="rId1"/>
  <ignoredErrors>
    <ignoredError sqref="AJ23" 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75A79-EF76-4805-8F43-EE62867A6F24}">
  <dimension ref="A1:AL31"/>
  <sheetViews>
    <sheetView topLeftCell="A7" zoomScale="96" zoomScaleNormal="96" workbookViewId="0">
      <selection activeCell="A25" sqref="A25"/>
    </sheetView>
  </sheetViews>
  <sheetFormatPr baseColWidth="10" defaultRowHeight="14.5" x14ac:dyDescent="0.35"/>
  <cols>
    <col min="1" max="1" width="57.1796875" customWidth="1"/>
    <col min="2" max="2" width="57.36328125" customWidth="1"/>
    <col min="6" max="6" width="11.26953125" customWidth="1"/>
    <col min="33" max="33" width="10.90625" customWidth="1"/>
  </cols>
  <sheetData>
    <row r="1" spans="1:38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x14ac:dyDescent="0.35">
      <c r="A2" s="23" t="s">
        <v>0</v>
      </c>
      <c r="B2" s="23" t="s">
        <v>127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21" t="s">
        <v>152</v>
      </c>
      <c r="AI2" s="21" t="s">
        <v>78</v>
      </c>
      <c r="AJ2" s="21" t="s">
        <v>79</v>
      </c>
      <c r="AK2" s="21" t="s">
        <v>153</v>
      </c>
      <c r="AL2" s="21" t="s">
        <v>154</v>
      </c>
    </row>
    <row r="3" spans="1:38" x14ac:dyDescent="0.35">
      <c r="A3" s="24"/>
      <c r="B3" s="24"/>
      <c r="C3" s="2" t="s">
        <v>7</v>
      </c>
      <c r="D3" s="2" t="s">
        <v>8</v>
      </c>
      <c r="E3" s="2" t="s">
        <v>9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3</v>
      </c>
      <c r="N3" s="2" t="s">
        <v>4</v>
      </c>
      <c r="O3" s="2" t="s">
        <v>5</v>
      </c>
      <c r="P3" s="2" t="s">
        <v>6</v>
      </c>
      <c r="Q3" s="2" t="s">
        <v>7</v>
      </c>
      <c r="R3" s="2" t="s">
        <v>8</v>
      </c>
      <c r="S3" s="2" t="s">
        <v>9</v>
      </c>
      <c r="T3" s="2" t="s">
        <v>3</v>
      </c>
      <c r="U3" s="2" t="s">
        <v>4</v>
      </c>
      <c r="V3" s="2" t="s">
        <v>5</v>
      </c>
      <c r="W3" s="2" t="s">
        <v>6</v>
      </c>
      <c r="X3" s="2" t="s">
        <v>7</v>
      </c>
      <c r="Y3" s="2" t="s">
        <v>8</v>
      </c>
      <c r="Z3" s="2" t="s">
        <v>9</v>
      </c>
      <c r="AA3" s="2" t="s">
        <v>3</v>
      </c>
      <c r="AB3" s="2" t="s">
        <v>4</v>
      </c>
      <c r="AC3" s="2" t="s">
        <v>5</v>
      </c>
      <c r="AD3" s="2" t="s">
        <v>6</v>
      </c>
      <c r="AE3" s="2" t="s">
        <v>7</v>
      </c>
      <c r="AF3" s="2" t="s">
        <v>8</v>
      </c>
      <c r="AG3" s="2" t="s">
        <v>9</v>
      </c>
      <c r="AH3" s="22"/>
      <c r="AI3" s="22"/>
      <c r="AJ3" s="22"/>
      <c r="AK3" s="22"/>
      <c r="AL3" s="22"/>
    </row>
    <row r="4" spans="1:38" x14ac:dyDescent="0.35">
      <c r="A4" s="3" t="s">
        <v>158</v>
      </c>
      <c r="B4" s="4" t="s">
        <v>162</v>
      </c>
      <c r="C4" s="5">
        <v>1</v>
      </c>
      <c r="D4" s="5">
        <v>1</v>
      </c>
      <c r="E4" s="5">
        <v>1</v>
      </c>
      <c r="F4" s="5">
        <v>5</v>
      </c>
      <c r="G4" s="5">
        <v>5</v>
      </c>
      <c r="H4" s="5">
        <v>5</v>
      </c>
      <c r="I4" s="5">
        <v>4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4</v>
      </c>
      <c r="Q4" s="5">
        <v>3</v>
      </c>
      <c r="R4" s="5">
        <v>3</v>
      </c>
      <c r="S4" s="5">
        <v>3</v>
      </c>
      <c r="T4" s="5">
        <v>3</v>
      </c>
      <c r="U4" s="5">
        <v>3</v>
      </c>
      <c r="V4" s="5">
        <v>3</v>
      </c>
      <c r="W4" s="5">
        <v>3</v>
      </c>
      <c r="X4" s="5">
        <v>3</v>
      </c>
      <c r="Y4" s="5">
        <v>3</v>
      </c>
      <c r="Z4" s="5">
        <v>3</v>
      </c>
      <c r="AA4" s="5">
        <v>1</v>
      </c>
      <c r="AB4" s="5">
        <v>3</v>
      </c>
      <c r="AC4" s="5">
        <v>3</v>
      </c>
      <c r="AD4" s="5">
        <v>3</v>
      </c>
      <c r="AE4" s="5">
        <v>1</v>
      </c>
      <c r="AF4" s="5">
        <v>1</v>
      </c>
      <c r="AG4" s="5">
        <v>1</v>
      </c>
      <c r="AH4" s="7">
        <f>COUNTIF(C4:AG4,"1")</f>
        <v>7</v>
      </c>
      <c r="AI4" s="8">
        <f>COUNTIF(C4:AG4,"2")</f>
        <v>0</v>
      </c>
      <c r="AJ4" s="9">
        <f>COUNTIF(C4:AG4,"3")</f>
        <v>13</v>
      </c>
      <c r="AK4" s="10">
        <f>COUNTIF(C4:AG4,"4")</f>
        <v>2</v>
      </c>
      <c r="AL4" s="11">
        <f>COUNTIF(C4:AG4,"5")</f>
        <v>9</v>
      </c>
    </row>
    <row r="5" spans="1:38" x14ac:dyDescent="0.35">
      <c r="A5" s="3" t="s">
        <v>172</v>
      </c>
      <c r="B5" s="4" t="s">
        <v>109</v>
      </c>
      <c r="C5" s="5">
        <v>1</v>
      </c>
      <c r="D5" s="5">
        <v>1</v>
      </c>
      <c r="E5" s="5">
        <v>1</v>
      </c>
      <c r="F5" s="5">
        <v>1</v>
      </c>
      <c r="G5" s="5">
        <v>4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4</v>
      </c>
      <c r="O5" s="6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4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4</v>
      </c>
      <c r="AC5" s="5">
        <v>1</v>
      </c>
      <c r="AD5" s="6">
        <v>1</v>
      </c>
      <c r="AE5" s="5">
        <v>1</v>
      </c>
      <c r="AF5" s="5">
        <v>1</v>
      </c>
      <c r="AG5" s="5">
        <v>1</v>
      </c>
      <c r="AH5" s="7">
        <f t="shared" ref="AH5:AH31" si="0">COUNTIF(C5:AG5,"1")</f>
        <v>27</v>
      </c>
      <c r="AI5" s="8">
        <f t="shared" ref="AI5:AI31" si="1">COUNTIF(C5:AG5,"2")</f>
        <v>0</v>
      </c>
      <c r="AJ5" s="9">
        <f t="shared" ref="AJ5:AJ31" si="2">COUNTIF(C5:AG5,"3")</f>
        <v>0</v>
      </c>
      <c r="AK5" s="10">
        <f t="shared" ref="AK5:AK31" si="3">COUNTIF(C5:AG5,"4")</f>
        <v>4</v>
      </c>
      <c r="AL5" s="11">
        <f t="shared" ref="AL5:AL31" si="4">COUNTIF(C5:AG5,"5")</f>
        <v>0</v>
      </c>
    </row>
    <row r="6" spans="1:38" x14ac:dyDescent="0.35">
      <c r="A6" s="3" t="s">
        <v>15</v>
      </c>
      <c r="B6" s="4" t="s">
        <v>14</v>
      </c>
      <c r="C6" s="5">
        <v>2</v>
      </c>
      <c r="D6" s="5">
        <v>1</v>
      </c>
      <c r="E6" s="5">
        <v>1</v>
      </c>
      <c r="F6" s="5">
        <v>1</v>
      </c>
      <c r="G6" s="5">
        <v>4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6">
        <v>1</v>
      </c>
      <c r="O6" s="5">
        <v>4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4</v>
      </c>
      <c r="W6" s="5">
        <v>1</v>
      </c>
      <c r="X6" s="5">
        <v>1</v>
      </c>
      <c r="Y6" s="5">
        <v>1</v>
      </c>
      <c r="Z6" s="5">
        <v>1</v>
      </c>
      <c r="AA6" s="5">
        <v>1</v>
      </c>
      <c r="AB6" s="5">
        <v>4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7">
        <f t="shared" si="0"/>
        <v>26</v>
      </c>
      <c r="AI6" s="8">
        <f t="shared" si="1"/>
        <v>1</v>
      </c>
      <c r="AJ6" s="9">
        <f t="shared" si="2"/>
        <v>0</v>
      </c>
      <c r="AK6" s="10">
        <f t="shared" si="3"/>
        <v>4</v>
      </c>
      <c r="AL6" s="11">
        <f t="shared" si="4"/>
        <v>0</v>
      </c>
    </row>
    <row r="7" spans="1:38" x14ac:dyDescent="0.35">
      <c r="A7" s="3" t="s">
        <v>206</v>
      </c>
      <c r="B7" s="4" t="s">
        <v>17</v>
      </c>
      <c r="C7" s="5">
        <v>2</v>
      </c>
      <c r="D7" s="5">
        <v>1</v>
      </c>
      <c r="E7" s="5">
        <v>1</v>
      </c>
      <c r="F7" s="5">
        <v>1</v>
      </c>
      <c r="G7" s="5">
        <v>4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4</v>
      </c>
      <c r="O7" s="5">
        <v>1</v>
      </c>
      <c r="P7" s="5">
        <v>1</v>
      </c>
      <c r="Q7" s="5">
        <v>1</v>
      </c>
      <c r="R7" s="5">
        <v>3</v>
      </c>
      <c r="S7" s="5">
        <v>3</v>
      </c>
      <c r="T7" s="5">
        <v>3</v>
      </c>
      <c r="U7" s="5">
        <v>3</v>
      </c>
      <c r="V7" s="5">
        <v>3</v>
      </c>
      <c r="W7" s="5">
        <v>3</v>
      </c>
      <c r="X7" s="5">
        <v>3</v>
      </c>
      <c r="Y7" s="5">
        <v>3</v>
      </c>
      <c r="Z7" s="6">
        <v>3</v>
      </c>
      <c r="AA7" s="5">
        <v>3</v>
      </c>
      <c r="AB7" s="5">
        <v>3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7">
        <f t="shared" si="0"/>
        <v>17</v>
      </c>
      <c r="AI7" s="8">
        <f t="shared" si="1"/>
        <v>1</v>
      </c>
      <c r="AJ7" s="9">
        <f t="shared" si="2"/>
        <v>11</v>
      </c>
      <c r="AK7" s="10">
        <f t="shared" si="3"/>
        <v>2</v>
      </c>
      <c r="AL7" s="11">
        <f t="shared" si="4"/>
        <v>0</v>
      </c>
    </row>
    <row r="8" spans="1:38" x14ac:dyDescent="0.35">
      <c r="A8" s="3" t="s">
        <v>168</v>
      </c>
      <c r="B8" s="4" t="s">
        <v>166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4</v>
      </c>
      <c r="AC8" s="5">
        <v>1</v>
      </c>
      <c r="AD8" s="5">
        <v>1</v>
      </c>
      <c r="AE8" s="5">
        <v>1</v>
      </c>
      <c r="AF8" s="5">
        <v>1</v>
      </c>
      <c r="AG8" s="5">
        <v>1</v>
      </c>
      <c r="AH8" s="7">
        <f t="shared" si="0"/>
        <v>13</v>
      </c>
      <c r="AI8" s="8">
        <f t="shared" si="1"/>
        <v>0</v>
      </c>
      <c r="AJ8" s="9">
        <f t="shared" si="2"/>
        <v>0</v>
      </c>
      <c r="AK8" s="10">
        <f>COUNTIF(C8:AG8,"4")</f>
        <v>1</v>
      </c>
      <c r="AL8" s="11">
        <f t="shared" si="4"/>
        <v>0</v>
      </c>
    </row>
    <row r="9" spans="1:38" x14ac:dyDescent="0.35">
      <c r="A9" s="3" t="s">
        <v>171</v>
      </c>
      <c r="B9" s="4" t="s">
        <v>165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4</v>
      </c>
      <c r="V9" s="5">
        <v>1</v>
      </c>
      <c r="W9" s="6"/>
      <c r="X9" s="5"/>
      <c r="Y9" s="5"/>
      <c r="Z9" s="5"/>
      <c r="AA9" s="5"/>
      <c r="AB9" s="5"/>
      <c r="AC9" s="5"/>
      <c r="AD9" s="5"/>
      <c r="AE9" s="5"/>
      <c r="AF9" s="5"/>
      <c r="AG9" s="5"/>
      <c r="AH9" s="7">
        <f t="shared" si="0"/>
        <v>8</v>
      </c>
      <c r="AI9" s="8">
        <f t="shared" si="1"/>
        <v>0</v>
      </c>
      <c r="AJ9" s="9">
        <f t="shared" si="2"/>
        <v>0</v>
      </c>
      <c r="AK9" s="10">
        <f>COUNTIF(C9:AG9,"4")</f>
        <v>1</v>
      </c>
      <c r="AL9" s="11">
        <f t="shared" si="4"/>
        <v>0</v>
      </c>
    </row>
    <row r="10" spans="1:38" x14ac:dyDescent="0.35">
      <c r="A10" s="3" t="s">
        <v>167</v>
      </c>
      <c r="B10" s="4"/>
      <c r="C10" s="5">
        <v>1</v>
      </c>
      <c r="D10" s="5">
        <v>1</v>
      </c>
      <c r="E10" s="5">
        <v>1</v>
      </c>
      <c r="F10" s="5">
        <v>4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4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4</v>
      </c>
      <c r="T10" s="5">
        <v>1</v>
      </c>
      <c r="U10" s="5">
        <v>4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4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7">
        <f t="shared" si="0"/>
        <v>26</v>
      </c>
      <c r="AI10" s="8">
        <f t="shared" si="1"/>
        <v>0</v>
      </c>
      <c r="AJ10" s="9">
        <f t="shared" si="2"/>
        <v>0</v>
      </c>
      <c r="AK10" s="10">
        <f>COUNTIF(C10:AG10,"4")</f>
        <v>5</v>
      </c>
      <c r="AL10" s="11">
        <f t="shared" si="4"/>
        <v>0</v>
      </c>
    </row>
    <row r="11" spans="1:38" x14ac:dyDescent="0.35">
      <c r="A11" s="3" t="s">
        <v>21</v>
      </c>
      <c r="B11" s="4" t="s">
        <v>124</v>
      </c>
      <c r="C11" s="5">
        <v>1</v>
      </c>
      <c r="D11" s="5">
        <v>1</v>
      </c>
      <c r="E11" s="5">
        <v>1</v>
      </c>
      <c r="F11" s="5">
        <v>1</v>
      </c>
      <c r="G11" s="5">
        <v>4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4</v>
      </c>
      <c r="O11" s="5">
        <v>2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4</v>
      </c>
      <c r="W11" s="5">
        <v>1</v>
      </c>
      <c r="X11" s="6">
        <v>1</v>
      </c>
      <c r="Y11" s="5">
        <v>1</v>
      </c>
      <c r="Z11" s="5">
        <v>1</v>
      </c>
      <c r="AA11" s="5">
        <v>1</v>
      </c>
      <c r="AB11" s="5">
        <v>4</v>
      </c>
      <c r="AC11" s="5">
        <v>1</v>
      </c>
      <c r="AD11" s="5">
        <v>1</v>
      </c>
      <c r="AE11" s="5">
        <v>1</v>
      </c>
      <c r="AF11" s="5">
        <v>2</v>
      </c>
      <c r="AG11" s="5">
        <v>1</v>
      </c>
      <c r="AH11" s="7">
        <f t="shared" si="0"/>
        <v>25</v>
      </c>
      <c r="AI11" s="8">
        <f t="shared" si="1"/>
        <v>2</v>
      </c>
      <c r="AJ11" s="9">
        <f t="shared" si="2"/>
        <v>0</v>
      </c>
      <c r="AK11" s="10">
        <f t="shared" si="3"/>
        <v>4</v>
      </c>
      <c r="AL11" s="11">
        <f t="shared" si="4"/>
        <v>0</v>
      </c>
    </row>
    <row r="12" spans="1:38" x14ac:dyDescent="0.35">
      <c r="A12" s="3" t="s">
        <v>23</v>
      </c>
      <c r="B12" s="4" t="s">
        <v>133</v>
      </c>
      <c r="C12" s="5">
        <v>1</v>
      </c>
      <c r="D12" s="5">
        <v>1</v>
      </c>
      <c r="E12" s="5">
        <v>1</v>
      </c>
      <c r="F12" s="5">
        <v>1</v>
      </c>
      <c r="G12" s="5">
        <v>4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4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s="5">
        <v>1</v>
      </c>
      <c r="U12" s="5">
        <v>4</v>
      </c>
      <c r="V12" s="5">
        <v>3</v>
      </c>
      <c r="W12" s="5">
        <v>1</v>
      </c>
      <c r="X12" s="5">
        <v>1</v>
      </c>
      <c r="Y12" s="5">
        <v>1</v>
      </c>
      <c r="Z12" s="5">
        <v>1</v>
      </c>
      <c r="AA12" s="5">
        <v>1</v>
      </c>
      <c r="AB12" s="5">
        <v>4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7">
        <f t="shared" si="0"/>
        <v>26</v>
      </c>
      <c r="AI12" s="8">
        <f t="shared" si="1"/>
        <v>0</v>
      </c>
      <c r="AJ12" s="9">
        <f t="shared" si="2"/>
        <v>1</v>
      </c>
      <c r="AK12" s="10">
        <f t="shared" si="3"/>
        <v>4</v>
      </c>
      <c r="AL12" s="11">
        <f t="shared" si="4"/>
        <v>0</v>
      </c>
    </row>
    <row r="13" spans="1:38" x14ac:dyDescent="0.35">
      <c r="A13" s="3" t="s">
        <v>24</v>
      </c>
      <c r="B13" s="4" t="s">
        <v>25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4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4</v>
      </c>
      <c r="O13" s="5">
        <v>1</v>
      </c>
      <c r="P13" s="5">
        <v>1</v>
      </c>
      <c r="Q13" s="5">
        <v>1</v>
      </c>
      <c r="R13" s="6">
        <v>1</v>
      </c>
      <c r="S13" s="5">
        <v>1</v>
      </c>
      <c r="T13" s="5">
        <v>1</v>
      </c>
      <c r="U13" s="5">
        <v>1</v>
      </c>
      <c r="V13" s="5">
        <v>4</v>
      </c>
      <c r="W13" s="5">
        <v>1</v>
      </c>
      <c r="X13" s="6">
        <v>1</v>
      </c>
      <c r="Y13" s="5">
        <v>1</v>
      </c>
      <c r="Z13" s="5">
        <v>1</v>
      </c>
      <c r="AA13" s="5">
        <v>1</v>
      </c>
      <c r="AB13" s="5">
        <v>4</v>
      </c>
      <c r="AC13" s="5">
        <v>1</v>
      </c>
      <c r="AD13" s="5">
        <v>1</v>
      </c>
      <c r="AE13" s="5">
        <v>1</v>
      </c>
      <c r="AF13" s="5">
        <v>1</v>
      </c>
      <c r="AG13" s="5">
        <v>1</v>
      </c>
      <c r="AH13" s="7">
        <f t="shared" si="0"/>
        <v>27</v>
      </c>
      <c r="AI13" s="8">
        <f t="shared" si="1"/>
        <v>0</v>
      </c>
      <c r="AJ13" s="9">
        <f t="shared" si="2"/>
        <v>0</v>
      </c>
      <c r="AK13" s="10">
        <f t="shared" si="3"/>
        <v>4</v>
      </c>
      <c r="AL13" s="11">
        <f t="shared" si="4"/>
        <v>0</v>
      </c>
    </row>
    <row r="14" spans="1:38" x14ac:dyDescent="0.35">
      <c r="A14" s="3" t="s">
        <v>26</v>
      </c>
      <c r="B14" s="4" t="s">
        <v>27</v>
      </c>
      <c r="C14" s="5">
        <v>1</v>
      </c>
      <c r="D14" s="5">
        <v>1</v>
      </c>
      <c r="E14" s="5">
        <v>1</v>
      </c>
      <c r="F14" s="5">
        <v>1</v>
      </c>
      <c r="G14" s="5">
        <v>4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4</v>
      </c>
      <c r="O14" s="5">
        <v>1</v>
      </c>
      <c r="P14" s="6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4</v>
      </c>
      <c r="X14" s="5">
        <v>1</v>
      </c>
      <c r="Y14" s="5">
        <v>1</v>
      </c>
      <c r="Z14" s="5">
        <v>1</v>
      </c>
      <c r="AA14" s="5">
        <v>1</v>
      </c>
      <c r="AB14" s="6">
        <v>4</v>
      </c>
      <c r="AC14" s="5">
        <v>1</v>
      </c>
      <c r="AD14" s="5">
        <v>1</v>
      </c>
      <c r="AE14" s="5">
        <v>1</v>
      </c>
      <c r="AF14" s="5">
        <v>1</v>
      </c>
      <c r="AG14" s="5">
        <v>1</v>
      </c>
      <c r="AH14" s="7">
        <f t="shared" si="0"/>
        <v>27</v>
      </c>
      <c r="AI14" s="8">
        <f t="shared" si="1"/>
        <v>0</v>
      </c>
      <c r="AJ14" s="9">
        <f t="shared" si="2"/>
        <v>0</v>
      </c>
      <c r="AK14" s="10">
        <f t="shared" si="3"/>
        <v>4</v>
      </c>
      <c r="AL14" s="11">
        <f t="shared" si="4"/>
        <v>0</v>
      </c>
    </row>
    <row r="15" spans="1:38" x14ac:dyDescent="0.35">
      <c r="A15" s="3" t="s">
        <v>28</v>
      </c>
      <c r="B15" s="4" t="s">
        <v>103</v>
      </c>
      <c r="C15" s="5">
        <v>1</v>
      </c>
      <c r="D15" s="5">
        <v>1</v>
      </c>
      <c r="E15" s="5">
        <v>1</v>
      </c>
      <c r="F15" s="5">
        <v>1</v>
      </c>
      <c r="G15" s="5">
        <v>4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4</v>
      </c>
      <c r="N15" s="5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3</v>
      </c>
      <c r="V15" s="5">
        <v>1</v>
      </c>
      <c r="W15" s="5">
        <v>1</v>
      </c>
      <c r="X15" s="5">
        <v>1</v>
      </c>
      <c r="Y15" s="5">
        <v>1</v>
      </c>
      <c r="Z15" s="6">
        <v>1</v>
      </c>
      <c r="AA15" s="5">
        <v>4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7">
        <f t="shared" si="0"/>
        <v>27</v>
      </c>
      <c r="AI15" s="8">
        <f t="shared" si="1"/>
        <v>0</v>
      </c>
      <c r="AJ15" s="9">
        <f t="shared" si="2"/>
        <v>1</v>
      </c>
      <c r="AK15" s="10">
        <f t="shared" si="3"/>
        <v>3</v>
      </c>
      <c r="AL15" s="11">
        <f t="shared" si="4"/>
        <v>0</v>
      </c>
    </row>
    <row r="16" spans="1:38" x14ac:dyDescent="0.35">
      <c r="A16" s="3" t="s">
        <v>143</v>
      </c>
      <c r="B16" s="4" t="s">
        <v>151</v>
      </c>
      <c r="C16" s="5">
        <v>3</v>
      </c>
      <c r="D16" s="5">
        <v>3</v>
      </c>
      <c r="E16" s="5">
        <v>1</v>
      </c>
      <c r="F16" s="5">
        <v>1</v>
      </c>
      <c r="G16" s="5">
        <v>4</v>
      </c>
      <c r="H16" s="5">
        <v>1</v>
      </c>
      <c r="I16" s="5">
        <v>2</v>
      </c>
      <c r="J16" s="5">
        <v>1</v>
      </c>
      <c r="K16" s="5">
        <v>1</v>
      </c>
      <c r="L16" s="5">
        <v>3</v>
      </c>
      <c r="M16" s="5">
        <v>4</v>
      </c>
      <c r="N16" s="5">
        <v>3</v>
      </c>
      <c r="O16" s="5">
        <v>1</v>
      </c>
      <c r="P16" s="6">
        <v>1</v>
      </c>
      <c r="Q16" s="5">
        <v>1</v>
      </c>
      <c r="R16" s="5">
        <v>1</v>
      </c>
      <c r="S16" s="5">
        <v>1</v>
      </c>
      <c r="T16" s="5">
        <v>3</v>
      </c>
      <c r="U16" s="5">
        <v>3</v>
      </c>
      <c r="V16" s="5">
        <v>1</v>
      </c>
      <c r="W16" s="5">
        <v>1</v>
      </c>
      <c r="X16" s="6">
        <v>1</v>
      </c>
      <c r="Y16" s="5">
        <v>4</v>
      </c>
      <c r="Z16" s="5">
        <v>1</v>
      </c>
      <c r="AA16" s="5">
        <v>1</v>
      </c>
      <c r="AB16" s="6">
        <v>4</v>
      </c>
      <c r="AC16" s="5">
        <v>1</v>
      </c>
      <c r="AD16" s="5">
        <v>1</v>
      </c>
      <c r="AE16" s="5">
        <v>3</v>
      </c>
      <c r="AF16" s="6">
        <v>1</v>
      </c>
      <c r="AG16" s="5">
        <v>3</v>
      </c>
      <c r="AH16" s="7">
        <f t="shared" si="0"/>
        <v>18</v>
      </c>
      <c r="AI16" s="8">
        <f t="shared" si="1"/>
        <v>1</v>
      </c>
      <c r="AJ16" s="9">
        <f t="shared" si="2"/>
        <v>8</v>
      </c>
      <c r="AK16" s="10">
        <f t="shared" si="3"/>
        <v>4</v>
      </c>
      <c r="AL16" s="11">
        <f t="shared" si="4"/>
        <v>0</v>
      </c>
    </row>
    <row r="17" spans="1:38" x14ac:dyDescent="0.35">
      <c r="A17" s="3" t="s">
        <v>39</v>
      </c>
      <c r="B17" s="4" t="s">
        <v>43</v>
      </c>
      <c r="C17" s="5">
        <v>4</v>
      </c>
      <c r="D17" s="5">
        <v>5</v>
      </c>
      <c r="E17" s="5">
        <v>4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4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4</v>
      </c>
      <c r="T17" s="5">
        <v>1</v>
      </c>
      <c r="U17" s="5">
        <v>4</v>
      </c>
      <c r="V17" s="5">
        <v>1</v>
      </c>
      <c r="W17" s="5">
        <v>1</v>
      </c>
      <c r="X17" s="5">
        <v>1</v>
      </c>
      <c r="Y17" s="6">
        <v>1</v>
      </c>
      <c r="Z17" s="5">
        <v>4</v>
      </c>
      <c r="AA17" s="5">
        <v>1</v>
      </c>
      <c r="AB17" s="5">
        <v>1</v>
      </c>
      <c r="AC17" s="5">
        <v>1</v>
      </c>
      <c r="AD17" s="5">
        <v>1</v>
      </c>
      <c r="AE17" s="6">
        <v>1</v>
      </c>
      <c r="AF17" s="5">
        <v>1</v>
      </c>
      <c r="AG17" s="6">
        <v>1</v>
      </c>
      <c r="AH17" s="7">
        <f t="shared" si="0"/>
        <v>24</v>
      </c>
      <c r="AI17" s="8">
        <f t="shared" si="1"/>
        <v>0</v>
      </c>
      <c r="AJ17" s="9">
        <f t="shared" si="2"/>
        <v>0</v>
      </c>
      <c r="AK17" s="10">
        <f>COUNTIF(C17:AG17,"4")</f>
        <v>6</v>
      </c>
      <c r="AL17" s="11">
        <f t="shared" si="4"/>
        <v>1</v>
      </c>
    </row>
    <row r="18" spans="1:38" x14ac:dyDescent="0.35">
      <c r="A18" s="3" t="s">
        <v>148</v>
      </c>
      <c r="B18" s="4" t="s">
        <v>163</v>
      </c>
      <c r="C18" s="5">
        <v>3</v>
      </c>
      <c r="D18" s="5">
        <v>3</v>
      </c>
      <c r="E18" s="5">
        <v>3</v>
      </c>
      <c r="F18" s="5">
        <v>3</v>
      </c>
      <c r="G18" s="5">
        <v>3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4</v>
      </c>
      <c r="P18" s="5">
        <v>1</v>
      </c>
      <c r="Q18" s="5">
        <v>1</v>
      </c>
      <c r="R18" s="5">
        <v>1</v>
      </c>
      <c r="S18" s="5">
        <v>1</v>
      </c>
      <c r="T18" s="5">
        <v>1</v>
      </c>
      <c r="U18" s="5">
        <v>4</v>
      </c>
      <c r="V18" s="5">
        <v>1</v>
      </c>
      <c r="W18" s="5">
        <v>1</v>
      </c>
      <c r="X18" s="6">
        <v>1</v>
      </c>
      <c r="Y18" s="5">
        <v>1</v>
      </c>
      <c r="Z18" s="5">
        <v>1</v>
      </c>
      <c r="AA18" s="6">
        <v>1</v>
      </c>
      <c r="AB18" s="5">
        <v>4</v>
      </c>
      <c r="AC18" s="5">
        <v>4</v>
      </c>
      <c r="AD18" s="5">
        <v>1</v>
      </c>
      <c r="AE18" s="5">
        <v>1</v>
      </c>
      <c r="AF18" s="5">
        <v>1</v>
      </c>
      <c r="AG18" s="5">
        <v>1</v>
      </c>
      <c r="AH18" s="7">
        <f>COUNTIF(C18:AG18,"1")</f>
        <v>22</v>
      </c>
      <c r="AI18" s="8">
        <f>COUNTIF(C18:AG18,"2")</f>
        <v>0</v>
      </c>
      <c r="AJ18" s="9">
        <f>COUNTIF(C18:AG18,"3")</f>
        <v>5</v>
      </c>
      <c r="AK18" s="10">
        <f>COUNTIF(C18:AG18,"4")</f>
        <v>4</v>
      </c>
      <c r="AL18" s="11">
        <f>COUNTIF(C18:AG18,"5")</f>
        <v>0</v>
      </c>
    </row>
    <row r="19" spans="1:38" x14ac:dyDescent="0.35">
      <c r="A19" s="3" t="s">
        <v>157</v>
      </c>
      <c r="B19" s="4" t="s">
        <v>33</v>
      </c>
      <c r="C19" s="5">
        <v>1</v>
      </c>
      <c r="D19" s="5">
        <v>5</v>
      </c>
      <c r="E19" s="5">
        <v>5</v>
      </c>
      <c r="F19" s="5">
        <v>5</v>
      </c>
      <c r="G19" s="5">
        <v>5</v>
      </c>
      <c r="H19" s="5">
        <v>5</v>
      </c>
      <c r="I19" s="5">
        <v>5</v>
      </c>
      <c r="J19" s="5">
        <v>4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  <c r="V19" s="5">
        <v>4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4</v>
      </c>
      <c r="AC19" s="5">
        <v>1</v>
      </c>
      <c r="AD19" s="5">
        <v>1</v>
      </c>
      <c r="AE19" s="5">
        <v>1</v>
      </c>
      <c r="AF19" s="5">
        <v>1</v>
      </c>
      <c r="AG19" s="5">
        <v>1</v>
      </c>
      <c r="AH19" s="7">
        <f>COUNTIF(C19:AG19,"1")</f>
        <v>22</v>
      </c>
      <c r="AI19" s="8">
        <f>COUNTIF(C19:AG19,"2")</f>
        <v>0</v>
      </c>
      <c r="AJ19" s="9">
        <f>COUNTIF(C19:AG19,"3")</f>
        <v>0</v>
      </c>
      <c r="AK19" s="10">
        <f>COUNTIF(C19:AG19,"4")</f>
        <v>3</v>
      </c>
      <c r="AL19" s="11">
        <f>COUNTIF(C19:AG19,"5")</f>
        <v>6</v>
      </c>
    </row>
    <row r="20" spans="1:38" x14ac:dyDescent="0.35">
      <c r="A20" s="3" t="s">
        <v>121</v>
      </c>
      <c r="B20" s="4" t="s">
        <v>138</v>
      </c>
      <c r="C20" s="5">
        <v>1</v>
      </c>
      <c r="D20" s="5">
        <v>1</v>
      </c>
      <c r="E20" s="5">
        <v>1</v>
      </c>
      <c r="F20" s="5">
        <v>1</v>
      </c>
      <c r="G20" s="5">
        <v>4</v>
      </c>
      <c r="H20" s="5">
        <v>1</v>
      </c>
      <c r="I20" s="5">
        <v>1</v>
      </c>
      <c r="J20" s="5">
        <v>1</v>
      </c>
      <c r="K20" s="5">
        <v>1</v>
      </c>
      <c r="L20" s="5">
        <v>4</v>
      </c>
      <c r="M20" s="5">
        <v>1</v>
      </c>
      <c r="N20" s="5">
        <v>1</v>
      </c>
      <c r="O20" s="5">
        <v>1</v>
      </c>
      <c r="P20" s="5">
        <v>4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4</v>
      </c>
      <c r="AA20" s="5">
        <v>1</v>
      </c>
      <c r="AB20" s="5">
        <v>1</v>
      </c>
      <c r="AC20" s="5">
        <v>1</v>
      </c>
      <c r="AD20" s="5">
        <v>4</v>
      </c>
      <c r="AE20" s="5">
        <v>1</v>
      </c>
      <c r="AF20" s="5">
        <v>1</v>
      </c>
      <c r="AG20" s="5">
        <v>1</v>
      </c>
      <c r="AH20" s="7">
        <f t="shared" si="0"/>
        <v>26</v>
      </c>
      <c r="AI20" s="8">
        <f t="shared" si="1"/>
        <v>0</v>
      </c>
      <c r="AJ20" s="9">
        <f t="shared" si="2"/>
        <v>0</v>
      </c>
      <c r="AK20" s="10">
        <f t="shared" si="3"/>
        <v>5</v>
      </c>
      <c r="AL20" s="11">
        <f t="shared" si="4"/>
        <v>0</v>
      </c>
    </row>
    <row r="21" spans="1:38" x14ac:dyDescent="0.35">
      <c r="A21" s="3" t="s">
        <v>150</v>
      </c>
      <c r="B21" s="4" t="s">
        <v>164</v>
      </c>
      <c r="C21" s="5">
        <v>3</v>
      </c>
      <c r="D21" s="5">
        <v>3</v>
      </c>
      <c r="E21" s="5">
        <v>3</v>
      </c>
      <c r="F21" s="5">
        <v>3</v>
      </c>
      <c r="G21" s="5">
        <v>4</v>
      </c>
      <c r="H21" s="5">
        <v>1</v>
      </c>
      <c r="I21" s="5">
        <v>1</v>
      </c>
      <c r="J21" s="5">
        <v>3</v>
      </c>
      <c r="K21" s="5">
        <v>1</v>
      </c>
      <c r="L21" s="5">
        <v>1</v>
      </c>
      <c r="M21" s="5">
        <v>1</v>
      </c>
      <c r="N21" s="5">
        <v>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G21" s="5"/>
      <c r="AH21" s="7">
        <f>COUNTIF(C21:AG21,"1")</f>
        <v>6</v>
      </c>
      <c r="AI21" s="8">
        <f>COUNTIF(C21:AG21,"2")</f>
        <v>0</v>
      </c>
      <c r="AJ21" s="9">
        <f>COUNTIF(C21:AG21,"3")</f>
        <v>5</v>
      </c>
      <c r="AK21" s="10">
        <f>COUNTIF(C21:AG21,"4")</f>
        <v>1</v>
      </c>
      <c r="AL21" s="11">
        <f>COUNTIF(C21:AG21,"5")</f>
        <v>0</v>
      </c>
    </row>
    <row r="22" spans="1:38" x14ac:dyDescent="0.35">
      <c r="A22" s="3" t="s">
        <v>37</v>
      </c>
      <c r="B22" s="4" t="s">
        <v>38</v>
      </c>
      <c r="C22" s="5">
        <v>1</v>
      </c>
      <c r="D22" s="5">
        <v>1</v>
      </c>
      <c r="E22" s="5">
        <v>1</v>
      </c>
      <c r="F22" s="5">
        <v>1</v>
      </c>
      <c r="G22" s="5">
        <v>4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4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4</v>
      </c>
      <c r="W22" s="6">
        <v>1</v>
      </c>
      <c r="X22" s="6">
        <v>1</v>
      </c>
      <c r="Y22" s="5">
        <v>1</v>
      </c>
      <c r="Z22" s="5">
        <v>3</v>
      </c>
      <c r="AA22" s="5">
        <v>3</v>
      </c>
      <c r="AB22" s="5">
        <v>4</v>
      </c>
      <c r="AC22" s="5"/>
      <c r="AD22" s="5">
        <v>1</v>
      </c>
      <c r="AE22" s="6">
        <v>1</v>
      </c>
      <c r="AF22" s="5">
        <v>1</v>
      </c>
      <c r="AG22" s="5">
        <v>1</v>
      </c>
      <c r="AH22" s="7">
        <f t="shared" si="0"/>
        <v>24</v>
      </c>
      <c r="AI22" s="8">
        <f t="shared" si="1"/>
        <v>0</v>
      </c>
      <c r="AJ22" s="9">
        <f t="shared" si="2"/>
        <v>2</v>
      </c>
      <c r="AK22" s="10">
        <f t="shared" si="3"/>
        <v>4</v>
      </c>
      <c r="AL22" s="11">
        <f t="shared" si="4"/>
        <v>0</v>
      </c>
    </row>
    <row r="23" spans="1:38" x14ac:dyDescent="0.35">
      <c r="A23" s="3" t="s">
        <v>149</v>
      </c>
      <c r="B23" s="4"/>
      <c r="C23" s="5">
        <v>1</v>
      </c>
      <c r="D23" s="5">
        <v>1</v>
      </c>
      <c r="E23" s="5">
        <v>1</v>
      </c>
      <c r="F23" s="5">
        <v>1</v>
      </c>
      <c r="G23" s="5">
        <v>4</v>
      </c>
      <c r="H23" s="5">
        <v>1</v>
      </c>
      <c r="I23" s="5">
        <v>1</v>
      </c>
      <c r="J23" s="5">
        <v>1</v>
      </c>
      <c r="K23" s="5">
        <v>1</v>
      </c>
      <c r="L23" s="5">
        <v>4</v>
      </c>
      <c r="M23" s="5">
        <v>1</v>
      </c>
      <c r="N23" s="5">
        <v>1</v>
      </c>
      <c r="O23" s="5">
        <v>1</v>
      </c>
      <c r="P23" s="5">
        <v>1</v>
      </c>
      <c r="Q23" s="6">
        <v>1</v>
      </c>
      <c r="R23" s="5">
        <v>1</v>
      </c>
      <c r="S23" s="5">
        <v>1</v>
      </c>
      <c r="T23" s="5">
        <v>1</v>
      </c>
      <c r="U23" s="5">
        <v>1</v>
      </c>
      <c r="V23" s="5">
        <v>4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1</v>
      </c>
      <c r="AE23" s="5">
        <v>1</v>
      </c>
      <c r="AF23" s="5">
        <v>2</v>
      </c>
      <c r="AG23" s="5">
        <v>1</v>
      </c>
      <c r="AH23" s="7">
        <f t="shared" si="0"/>
        <v>27</v>
      </c>
      <c r="AI23" s="8">
        <f t="shared" si="1"/>
        <v>1</v>
      </c>
      <c r="AJ23" s="9">
        <f t="shared" si="2"/>
        <v>0</v>
      </c>
      <c r="AK23" s="10">
        <f t="shared" si="3"/>
        <v>3</v>
      </c>
      <c r="AL23" s="11">
        <f t="shared" si="4"/>
        <v>0</v>
      </c>
    </row>
    <row r="24" spans="1:38" x14ac:dyDescent="0.35">
      <c r="A24" s="3" t="s">
        <v>159</v>
      </c>
      <c r="B24" s="4" t="s">
        <v>40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4</v>
      </c>
      <c r="I24" s="5">
        <v>1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4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1</v>
      </c>
      <c r="Z24" s="5">
        <v>1</v>
      </c>
      <c r="AA24" s="5">
        <v>1</v>
      </c>
      <c r="AB24" s="5">
        <v>1</v>
      </c>
      <c r="AC24" s="5">
        <v>4</v>
      </c>
      <c r="AD24" s="5">
        <v>1</v>
      </c>
      <c r="AE24" s="5">
        <v>1</v>
      </c>
      <c r="AF24" s="5">
        <v>1</v>
      </c>
      <c r="AG24" s="5">
        <v>1</v>
      </c>
      <c r="AH24" s="7">
        <f t="shared" si="0"/>
        <v>28</v>
      </c>
      <c r="AI24" s="8">
        <f t="shared" si="1"/>
        <v>0</v>
      </c>
      <c r="AJ24" s="9">
        <f t="shared" si="2"/>
        <v>0</v>
      </c>
      <c r="AK24" s="10">
        <f t="shared" si="3"/>
        <v>3</v>
      </c>
      <c r="AL24" s="11">
        <f t="shared" si="4"/>
        <v>0</v>
      </c>
    </row>
    <row r="25" spans="1:38" x14ac:dyDescent="0.35">
      <c r="A25" s="3" t="s">
        <v>160</v>
      </c>
      <c r="B25" s="4" t="s">
        <v>31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</v>
      </c>
      <c r="N25" s="5">
        <v>4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4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4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7">
        <f t="shared" si="0"/>
        <v>18</v>
      </c>
      <c r="AI25" s="8">
        <f t="shared" si="1"/>
        <v>0</v>
      </c>
      <c r="AJ25" s="9">
        <f t="shared" si="2"/>
        <v>0</v>
      </c>
      <c r="AK25" s="10">
        <f t="shared" si="3"/>
        <v>3</v>
      </c>
      <c r="AL25" s="11">
        <f t="shared" si="4"/>
        <v>0</v>
      </c>
    </row>
    <row r="26" spans="1:38" x14ac:dyDescent="0.35">
      <c r="A26" s="3" t="s">
        <v>161</v>
      </c>
      <c r="B26" s="4" t="s">
        <v>31</v>
      </c>
      <c r="C26" s="5">
        <v>1</v>
      </c>
      <c r="D26" s="5">
        <v>1</v>
      </c>
      <c r="E26" s="5">
        <v>1</v>
      </c>
      <c r="F26" s="5">
        <v>1</v>
      </c>
      <c r="G26" s="5">
        <v>4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7">
        <f>COUNTIF(C26:AG26,"1")</f>
        <v>9</v>
      </c>
      <c r="AI26" s="8">
        <f t="shared" si="1"/>
        <v>0</v>
      </c>
      <c r="AJ26" s="9">
        <f t="shared" si="2"/>
        <v>0</v>
      </c>
      <c r="AK26" s="10">
        <f t="shared" si="3"/>
        <v>1</v>
      </c>
      <c r="AL26" s="11">
        <f>COUNTIF(C26:AG26,"5")</f>
        <v>0</v>
      </c>
    </row>
    <row r="27" spans="1:38" x14ac:dyDescent="0.35">
      <c r="A27" s="4" t="s">
        <v>177</v>
      </c>
      <c r="B27" s="4" t="s">
        <v>177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</v>
      </c>
      <c r="AD27" s="5">
        <v>1</v>
      </c>
      <c r="AE27" s="5">
        <v>2</v>
      </c>
      <c r="AF27" s="5">
        <v>1</v>
      </c>
      <c r="AG27" s="5">
        <v>1</v>
      </c>
      <c r="AH27" s="7">
        <f>COUNTIF(C27:AG27,"1")</f>
        <v>4</v>
      </c>
      <c r="AI27" s="8">
        <f t="shared" si="1"/>
        <v>1</v>
      </c>
      <c r="AJ27" s="9">
        <f t="shared" si="2"/>
        <v>0</v>
      </c>
      <c r="AK27" s="10">
        <f t="shared" si="3"/>
        <v>0</v>
      </c>
      <c r="AL27" s="11">
        <f>COUNTIF(C27:AG27,"5")</f>
        <v>0</v>
      </c>
    </row>
    <row r="28" spans="1:38" x14ac:dyDescent="0.35">
      <c r="A28" s="4" t="s">
        <v>176</v>
      </c>
      <c r="B28" s="4" t="s">
        <v>99</v>
      </c>
      <c r="C28" s="5">
        <v>1</v>
      </c>
      <c r="D28" s="5">
        <v>1</v>
      </c>
      <c r="E28" s="5">
        <v>1</v>
      </c>
      <c r="F28" s="5">
        <v>1</v>
      </c>
      <c r="G28" s="5">
        <v>4</v>
      </c>
      <c r="H28" s="5">
        <v>1</v>
      </c>
      <c r="I28" s="5">
        <v>1</v>
      </c>
      <c r="J28" s="5">
        <v>1</v>
      </c>
      <c r="K28" s="5">
        <v>1</v>
      </c>
      <c r="L28" s="5">
        <v>4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1</v>
      </c>
      <c r="W28" s="5">
        <v>1</v>
      </c>
      <c r="X28" s="5">
        <v>1</v>
      </c>
      <c r="Y28" s="5">
        <v>1</v>
      </c>
      <c r="Z28" s="5">
        <v>4</v>
      </c>
      <c r="AA28" s="5">
        <v>1</v>
      </c>
      <c r="AB28" s="5">
        <v>1</v>
      </c>
      <c r="AC28" s="5">
        <v>1</v>
      </c>
      <c r="AD28" s="5">
        <v>1</v>
      </c>
      <c r="AE28" s="5">
        <v>1</v>
      </c>
      <c r="AF28" s="5">
        <v>1</v>
      </c>
      <c r="AG28" s="5">
        <v>4</v>
      </c>
      <c r="AH28" s="7">
        <f t="shared" si="0"/>
        <v>27</v>
      </c>
      <c r="AI28" s="8">
        <f>COUNTIF(C24:AG24,"2")</f>
        <v>0</v>
      </c>
      <c r="AJ28" s="9">
        <f t="shared" si="2"/>
        <v>0</v>
      </c>
      <c r="AK28" s="10">
        <f t="shared" si="3"/>
        <v>4</v>
      </c>
      <c r="AL28" s="11">
        <f t="shared" si="4"/>
        <v>0</v>
      </c>
    </row>
    <row r="29" spans="1:38" x14ac:dyDescent="0.35">
      <c r="A29" s="4" t="s">
        <v>131</v>
      </c>
      <c r="B29" s="4" t="s">
        <v>136</v>
      </c>
      <c r="C29" s="5">
        <v>1</v>
      </c>
      <c r="D29" s="5">
        <v>1</v>
      </c>
      <c r="E29" s="5">
        <v>4</v>
      </c>
      <c r="F29" s="5">
        <v>1</v>
      </c>
      <c r="G29" s="5">
        <v>2</v>
      </c>
      <c r="H29" s="5">
        <v>1</v>
      </c>
      <c r="I29" s="5">
        <v>1</v>
      </c>
      <c r="J29" s="5">
        <v>1</v>
      </c>
      <c r="K29" s="5">
        <v>4</v>
      </c>
      <c r="L29" s="5">
        <v>4</v>
      </c>
      <c r="M29" s="5">
        <v>1</v>
      </c>
      <c r="N29" s="5">
        <v>3</v>
      </c>
      <c r="O29" s="5">
        <v>1</v>
      </c>
      <c r="P29" s="6">
        <v>1</v>
      </c>
      <c r="Q29" s="5">
        <v>1</v>
      </c>
      <c r="R29" s="5">
        <v>4</v>
      </c>
      <c r="S29" s="5">
        <v>4</v>
      </c>
      <c r="T29" s="5">
        <v>1</v>
      </c>
      <c r="U29" s="5">
        <v>3</v>
      </c>
      <c r="V29" s="5">
        <v>1</v>
      </c>
      <c r="W29" s="5">
        <v>1</v>
      </c>
      <c r="X29" s="5">
        <v>1</v>
      </c>
      <c r="Y29" s="5">
        <v>1</v>
      </c>
      <c r="Z29" s="5">
        <v>4</v>
      </c>
      <c r="AA29" s="5">
        <v>1</v>
      </c>
      <c r="AB29" s="5">
        <v>1</v>
      </c>
      <c r="AC29" s="6">
        <v>1</v>
      </c>
      <c r="AD29" s="5">
        <v>1</v>
      </c>
      <c r="AE29" s="6">
        <v>1</v>
      </c>
      <c r="AF29" s="5">
        <v>1</v>
      </c>
      <c r="AG29" s="5">
        <v>4</v>
      </c>
      <c r="AH29" s="7">
        <f t="shared" si="0"/>
        <v>21</v>
      </c>
      <c r="AI29" s="8">
        <f t="shared" si="1"/>
        <v>1</v>
      </c>
      <c r="AJ29" s="9">
        <f t="shared" si="2"/>
        <v>2</v>
      </c>
      <c r="AK29" s="10">
        <f t="shared" si="3"/>
        <v>7</v>
      </c>
      <c r="AL29" s="11">
        <f t="shared" si="4"/>
        <v>0</v>
      </c>
    </row>
    <row r="30" spans="1:38" x14ac:dyDescent="0.35">
      <c r="A30" s="4" t="s">
        <v>145</v>
      </c>
      <c r="B30" s="4" t="s">
        <v>146</v>
      </c>
      <c r="C30" s="5">
        <v>2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4</v>
      </c>
      <c r="M30" s="5">
        <v>1</v>
      </c>
      <c r="N30" s="5">
        <v>1</v>
      </c>
      <c r="O30" s="5">
        <v>1</v>
      </c>
      <c r="P30" s="5">
        <v>1</v>
      </c>
      <c r="Q30" s="5">
        <v>1</v>
      </c>
      <c r="R30" s="5">
        <v>1</v>
      </c>
      <c r="S30" s="5">
        <v>4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>
        <v>1</v>
      </c>
      <c r="Z30" s="5">
        <v>4</v>
      </c>
      <c r="AA30" s="5">
        <v>1</v>
      </c>
      <c r="AB30" s="5">
        <v>1</v>
      </c>
      <c r="AC30" s="5">
        <v>1</v>
      </c>
      <c r="AD30" s="5">
        <v>1</v>
      </c>
      <c r="AE30" s="5">
        <v>1</v>
      </c>
      <c r="AF30" s="5">
        <v>1</v>
      </c>
      <c r="AG30" s="5">
        <v>4</v>
      </c>
      <c r="AH30" s="7">
        <f t="shared" si="0"/>
        <v>26</v>
      </c>
      <c r="AI30" s="8">
        <f t="shared" si="1"/>
        <v>1</v>
      </c>
      <c r="AJ30" s="9">
        <f t="shared" si="2"/>
        <v>0</v>
      </c>
      <c r="AK30" s="10">
        <f t="shared" si="3"/>
        <v>4</v>
      </c>
      <c r="AL30" s="11">
        <f t="shared" si="4"/>
        <v>0</v>
      </c>
    </row>
    <row r="31" spans="1:38" x14ac:dyDescent="0.35">
      <c r="A31" s="4" t="s">
        <v>169</v>
      </c>
      <c r="B31" s="4" t="s">
        <v>170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>
        <v>1</v>
      </c>
      <c r="Z31" s="5">
        <v>4</v>
      </c>
      <c r="AA31" s="5">
        <v>1</v>
      </c>
      <c r="AB31" s="5">
        <v>1</v>
      </c>
      <c r="AC31" s="5">
        <v>1</v>
      </c>
      <c r="AD31" s="5">
        <v>1</v>
      </c>
      <c r="AE31" s="5">
        <v>1</v>
      </c>
      <c r="AF31" s="5">
        <v>1</v>
      </c>
      <c r="AG31" s="5">
        <v>4</v>
      </c>
      <c r="AH31" s="7">
        <f t="shared" si="0"/>
        <v>12</v>
      </c>
      <c r="AI31" s="8">
        <f t="shared" si="1"/>
        <v>0</v>
      </c>
      <c r="AJ31" s="9">
        <f t="shared" si="2"/>
        <v>0</v>
      </c>
      <c r="AK31" s="10">
        <f t="shared" si="3"/>
        <v>2</v>
      </c>
      <c r="AL31" s="11">
        <f t="shared" si="4"/>
        <v>0</v>
      </c>
    </row>
  </sheetData>
  <mergeCells count="8">
    <mergeCell ref="A1:AL1"/>
    <mergeCell ref="A2:A3"/>
    <mergeCell ref="B2:B3"/>
    <mergeCell ref="AH2:AH3"/>
    <mergeCell ref="AI2:AI3"/>
    <mergeCell ref="AJ2:AJ3"/>
    <mergeCell ref="AK2:AK3"/>
    <mergeCell ref="AL2:AL3"/>
  </mergeCells>
  <conditionalFormatting sqref="C4:AG16 C17:AF17 AG17:AG21 AF18:AF20 C18:AE21 C22:AG31">
    <cfRule type="cellIs" dxfId="24" priority="1" operator="equal">
      <formula>1</formula>
    </cfRule>
    <cfRule type="cellIs" dxfId="23" priority="2" operator="equal">
      <formula>2</formula>
    </cfRule>
    <cfRule type="cellIs" dxfId="22" priority="3" operator="equal">
      <formula>3</formula>
    </cfRule>
    <cfRule type="cellIs" dxfId="21" priority="4" operator="equal">
      <formula>4</formula>
    </cfRule>
    <cfRule type="cellIs" dxfId="20" priority="5" operator="equal">
      <formula>5</formula>
    </cfRule>
  </conditionalFormatting>
  <pageMargins left="0.7" right="0.7" top="0.75" bottom="0.75" header="0.3" footer="0.3"/>
  <ignoredErrors>
    <ignoredError sqref="AI28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BC25-815A-4E1F-8683-41E371990E62}">
  <dimension ref="A1:AL33"/>
  <sheetViews>
    <sheetView topLeftCell="N1" zoomScale="77" zoomScaleNormal="77" workbookViewId="0">
      <selection activeCell="B32" sqref="B32"/>
    </sheetView>
  </sheetViews>
  <sheetFormatPr baseColWidth="10" defaultRowHeight="14.5" x14ac:dyDescent="0.35"/>
  <cols>
    <col min="1" max="1" width="40.08984375" customWidth="1"/>
    <col min="2" max="2" width="56" customWidth="1"/>
  </cols>
  <sheetData>
    <row r="1" spans="1:38" x14ac:dyDescent="0.3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8" x14ac:dyDescent="0.35">
      <c r="A2" s="23" t="s">
        <v>0</v>
      </c>
      <c r="B2" s="23" t="s">
        <v>1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 t="s">
        <v>9</v>
      </c>
      <c r="AC2" s="1">
        <v>27</v>
      </c>
      <c r="AD2" s="1">
        <v>28</v>
      </c>
      <c r="AE2" s="1">
        <v>29</v>
      </c>
      <c r="AF2" s="1">
        <v>30</v>
      </c>
      <c r="AG2" s="1"/>
      <c r="AH2" s="21" t="s">
        <v>152</v>
      </c>
      <c r="AI2" s="21" t="s">
        <v>78</v>
      </c>
      <c r="AJ2" s="21" t="s">
        <v>79</v>
      </c>
      <c r="AK2" s="21" t="s">
        <v>153</v>
      </c>
      <c r="AL2" s="21" t="s">
        <v>154</v>
      </c>
    </row>
    <row r="3" spans="1:38" x14ac:dyDescent="0.35">
      <c r="A3" s="24"/>
      <c r="B3" s="24"/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3</v>
      </c>
      <c r="Y3" s="2" t="s">
        <v>4</v>
      </c>
      <c r="Z3" s="2" t="s">
        <v>5</v>
      </c>
      <c r="AA3" s="2" t="s">
        <v>6</v>
      </c>
      <c r="AB3" s="2" t="s">
        <v>7</v>
      </c>
      <c r="AC3" s="2" t="s">
        <v>8</v>
      </c>
      <c r="AD3" s="2" t="s">
        <v>9</v>
      </c>
      <c r="AE3" s="2" t="s">
        <v>3</v>
      </c>
      <c r="AF3" s="2" t="s">
        <v>4</v>
      </c>
      <c r="AG3" s="2"/>
      <c r="AH3" s="22"/>
      <c r="AI3" s="22"/>
      <c r="AJ3" s="22"/>
      <c r="AK3" s="22"/>
      <c r="AL3" s="22"/>
    </row>
    <row r="4" spans="1:38" x14ac:dyDescent="0.35">
      <c r="A4" s="3" t="s">
        <v>158</v>
      </c>
      <c r="B4" s="4" t="s">
        <v>162</v>
      </c>
      <c r="C4" s="5">
        <v>1</v>
      </c>
      <c r="D4" s="5">
        <v>4</v>
      </c>
      <c r="E4" s="5">
        <v>1</v>
      </c>
      <c r="F4" s="5">
        <v>1</v>
      </c>
      <c r="G4" s="5">
        <v>1</v>
      </c>
      <c r="H4" s="5">
        <v>3</v>
      </c>
      <c r="I4" s="5">
        <v>3</v>
      </c>
      <c r="J4" s="5">
        <v>1</v>
      </c>
      <c r="K4" s="5">
        <v>1</v>
      </c>
      <c r="L4" s="5">
        <v>1</v>
      </c>
      <c r="M4" s="5">
        <v>4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4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4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/>
      <c r="AH4" s="7">
        <f>COUNTIF(C4:AG4,"1")</f>
        <v>24</v>
      </c>
      <c r="AI4" s="8">
        <f>COUNTIF(C4:AG4,"2")</f>
        <v>0</v>
      </c>
      <c r="AJ4" s="9">
        <f>COUNTIF(C4:AG4,"3")</f>
        <v>2</v>
      </c>
      <c r="AK4" s="10">
        <f>COUNTIF(C4:AG4,"4")</f>
        <v>4</v>
      </c>
      <c r="AL4" s="11">
        <f>COUNTIF(C4:AG4,"5")</f>
        <v>0</v>
      </c>
    </row>
    <row r="5" spans="1:38" x14ac:dyDescent="0.35">
      <c r="A5" s="3" t="s">
        <v>172</v>
      </c>
      <c r="B5" s="4" t="s">
        <v>109</v>
      </c>
      <c r="C5" s="5">
        <v>1</v>
      </c>
      <c r="D5" s="5">
        <v>4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4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4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7">
        <f t="shared" ref="AH5:AH32" si="0">COUNTIF(C5:AG5,"1")</f>
        <v>13</v>
      </c>
      <c r="AI5" s="8">
        <f t="shared" ref="AI5:AI32" si="1">COUNTIF(C5:AG5,"2")</f>
        <v>0</v>
      </c>
      <c r="AJ5" s="9">
        <f t="shared" ref="AJ5:AJ32" si="2">COUNTIF(C5:AG5,"3")</f>
        <v>0</v>
      </c>
      <c r="AK5" s="10">
        <f t="shared" ref="AK5:AK32" si="3">COUNTIF(C5:AG5,"4")</f>
        <v>3</v>
      </c>
      <c r="AL5" s="11">
        <f t="shared" ref="AL5:AL32" si="4">COUNTIF(C5:AG5,"5")</f>
        <v>0</v>
      </c>
    </row>
    <row r="6" spans="1:38" x14ac:dyDescent="0.35">
      <c r="A6" s="3" t="s">
        <v>160</v>
      </c>
      <c r="B6" s="4" t="s">
        <v>109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4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1</v>
      </c>
      <c r="AF6" s="5">
        <v>4</v>
      </c>
      <c r="AG6" s="5"/>
      <c r="AH6" s="7">
        <f t="shared" si="0"/>
        <v>12</v>
      </c>
      <c r="AI6" s="8">
        <f t="shared" si="1"/>
        <v>0</v>
      </c>
      <c r="AJ6" s="9">
        <f t="shared" si="2"/>
        <v>0</v>
      </c>
      <c r="AK6" s="10">
        <f t="shared" si="3"/>
        <v>2</v>
      </c>
      <c r="AL6" s="11">
        <f t="shared" si="4"/>
        <v>0</v>
      </c>
    </row>
    <row r="7" spans="1:38" x14ac:dyDescent="0.35">
      <c r="A7" s="3" t="s">
        <v>15</v>
      </c>
      <c r="B7" s="4" t="s">
        <v>14</v>
      </c>
      <c r="C7" s="5">
        <v>1</v>
      </c>
      <c r="D7" s="5">
        <v>4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4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4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4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4</v>
      </c>
      <c r="AG7" s="5"/>
      <c r="AH7" s="7">
        <f t="shared" si="0"/>
        <v>25</v>
      </c>
      <c r="AI7" s="8">
        <f t="shared" si="1"/>
        <v>0</v>
      </c>
      <c r="AJ7" s="9">
        <f t="shared" si="2"/>
        <v>0</v>
      </c>
      <c r="AK7" s="10">
        <f t="shared" si="3"/>
        <v>5</v>
      </c>
      <c r="AL7" s="11">
        <f t="shared" si="4"/>
        <v>0</v>
      </c>
    </row>
    <row r="8" spans="1:38" x14ac:dyDescent="0.35">
      <c r="A8" s="3" t="s">
        <v>187</v>
      </c>
      <c r="B8" s="4" t="s">
        <v>17</v>
      </c>
      <c r="C8" s="5">
        <v>1</v>
      </c>
      <c r="D8" s="5">
        <v>4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4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4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4</v>
      </c>
      <c r="Z8" s="6">
        <v>1</v>
      </c>
      <c r="AA8" s="5">
        <v>1</v>
      </c>
      <c r="AB8" s="5">
        <v>1</v>
      </c>
      <c r="AC8" s="5">
        <v>1</v>
      </c>
      <c r="AD8" s="5">
        <v>1</v>
      </c>
      <c r="AE8" s="5">
        <v>1</v>
      </c>
      <c r="AF8" s="5">
        <v>4</v>
      </c>
      <c r="AG8" s="5"/>
      <c r="AH8" s="7">
        <f t="shared" si="0"/>
        <v>25</v>
      </c>
      <c r="AI8" s="8">
        <f t="shared" si="1"/>
        <v>0</v>
      </c>
      <c r="AJ8" s="9">
        <f t="shared" si="2"/>
        <v>0</v>
      </c>
      <c r="AK8" s="10">
        <f t="shared" si="3"/>
        <v>5</v>
      </c>
      <c r="AL8" s="11">
        <f t="shared" si="4"/>
        <v>0</v>
      </c>
    </row>
    <row r="9" spans="1:38" ht="12.5" customHeight="1" x14ac:dyDescent="0.35">
      <c r="A9" s="3" t="s">
        <v>168</v>
      </c>
      <c r="B9" s="4" t="s">
        <v>166</v>
      </c>
      <c r="C9" s="5">
        <v>1</v>
      </c>
      <c r="D9" s="5">
        <v>4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4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4</v>
      </c>
      <c r="S9" s="5">
        <v>3</v>
      </c>
      <c r="T9" s="5">
        <v>3</v>
      </c>
      <c r="U9" s="5">
        <v>1</v>
      </c>
      <c r="V9" s="5">
        <v>1</v>
      </c>
      <c r="W9" s="5">
        <v>1</v>
      </c>
      <c r="X9" s="5">
        <v>1</v>
      </c>
      <c r="Y9" s="5">
        <v>4</v>
      </c>
      <c r="Z9" s="5">
        <v>1</v>
      </c>
      <c r="AA9" s="5">
        <v>3</v>
      </c>
      <c r="AB9" s="5">
        <v>1</v>
      </c>
      <c r="AC9" s="5">
        <v>1</v>
      </c>
      <c r="AD9" s="5">
        <v>1</v>
      </c>
      <c r="AE9" s="5">
        <v>1</v>
      </c>
      <c r="AF9" s="5">
        <v>4</v>
      </c>
      <c r="AG9" s="5"/>
      <c r="AH9" s="7">
        <f t="shared" si="0"/>
        <v>22</v>
      </c>
      <c r="AI9" s="8">
        <f t="shared" si="1"/>
        <v>0</v>
      </c>
      <c r="AJ9" s="9">
        <f t="shared" si="2"/>
        <v>3</v>
      </c>
      <c r="AK9" s="10">
        <f t="shared" si="3"/>
        <v>5</v>
      </c>
      <c r="AL9" s="11">
        <f t="shared" si="4"/>
        <v>0</v>
      </c>
    </row>
    <row r="10" spans="1:38" x14ac:dyDescent="0.35">
      <c r="A10" s="3" t="s">
        <v>178</v>
      </c>
      <c r="B10" s="4" t="s">
        <v>179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4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4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4</v>
      </c>
      <c r="Z10" s="5">
        <v>3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6">
        <v>4</v>
      </c>
      <c r="AG10" s="5"/>
      <c r="AH10" s="7">
        <f t="shared" si="0"/>
        <v>25</v>
      </c>
      <c r="AI10" s="8">
        <f>COUNTIF(C9:AG9,"2")</f>
        <v>0</v>
      </c>
      <c r="AJ10" s="9">
        <f>COUNTIF(C9:AG9,"3")</f>
        <v>3</v>
      </c>
      <c r="AK10" s="10">
        <f t="shared" si="3"/>
        <v>4</v>
      </c>
      <c r="AL10" s="11">
        <f t="shared" si="4"/>
        <v>0</v>
      </c>
    </row>
    <row r="11" spans="1:38" x14ac:dyDescent="0.35">
      <c r="A11" s="3" t="s">
        <v>21</v>
      </c>
      <c r="B11" s="4" t="s">
        <v>124</v>
      </c>
      <c r="C11" s="5">
        <v>1</v>
      </c>
      <c r="D11" s="5">
        <v>4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4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4</v>
      </c>
      <c r="U11" s="5">
        <v>1</v>
      </c>
      <c r="V11" s="6">
        <v>1</v>
      </c>
      <c r="W11" s="5">
        <v>1</v>
      </c>
      <c r="X11" s="5">
        <v>1</v>
      </c>
      <c r="Y11" s="5">
        <v>4</v>
      </c>
      <c r="Z11" s="5">
        <v>1</v>
      </c>
      <c r="AA11" s="5">
        <v>1</v>
      </c>
      <c r="AB11" s="5">
        <v>1</v>
      </c>
      <c r="AC11" s="5">
        <v>1</v>
      </c>
      <c r="AD11" s="5">
        <v>1</v>
      </c>
      <c r="AE11" s="5">
        <v>4</v>
      </c>
      <c r="AF11" s="5">
        <v>1</v>
      </c>
      <c r="AG11" s="5"/>
      <c r="AH11" s="7">
        <f t="shared" si="0"/>
        <v>25</v>
      </c>
      <c r="AI11" s="8">
        <f t="shared" si="1"/>
        <v>0</v>
      </c>
      <c r="AJ11" s="9">
        <f t="shared" si="2"/>
        <v>0</v>
      </c>
      <c r="AK11" s="10">
        <f t="shared" si="3"/>
        <v>5</v>
      </c>
      <c r="AL11" s="11">
        <f t="shared" si="4"/>
        <v>0</v>
      </c>
    </row>
    <row r="12" spans="1:38" x14ac:dyDescent="0.35">
      <c r="A12" s="3" t="s">
        <v>23</v>
      </c>
      <c r="B12" s="4" t="s">
        <v>133</v>
      </c>
      <c r="C12" s="5">
        <v>1</v>
      </c>
      <c r="D12" s="5">
        <v>4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4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5">
        <v>4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4</v>
      </c>
      <c r="Z12" s="5">
        <v>1</v>
      </c>
      <c r="AA12" s="5">
        <v>1</v>
      </c>
      <c r="AB12" s="5">
        <v>1</v>
      </c>
      <c r="AC12" s="5">
        <v>1</v>
      </c>
      <c r="AD12" s="5">
        <v>1</v>
      </c>
      <c r="AE12" s="5">
        <v>1</v>
      </c>
      <c r="AF12" s="5">
        <v>4</v>
      </c>
      <c r="AG12" s="5"/>
      <c r="AH12" s="7">
        <f t="shared" si="0"/>
        <v>25</v>
      </c>
      <c r="AI12" s="8">
        <f t="shared" si="1"/>
        <v>0</v>
      </c>
      <c r="AJ12" s="9">
        <f t="shared" si="2"/>
        <v>0</v>
      </c>
      <c r="AK12" s="10">
        <f t="shared" si="3"/>
        <v>5</v>
      </c>
      <c r="AL12" s="11">
        <f t="shared" si="4"/>
        <v>0</v>
      </c>
    </row>
    <row r="13" spans="1:38" x14ac:dyDescent="0.35">
      <c r="A13" s="3" t="s">
        <v>24</v>
      </c>
      <c r="B13" s="4" t="s">
        <v>180</v>
      </c>
      <c r="C13" s="5">
        <v>5</v>
      </c>
      <c r="D13" s="5">
        <v>4</v>
      </c>
      <c r="E13" s="5">
        <v>5</v>
      </c>
      <c r="F13" s="5">
        <v>5</v>
      </c>
      <c r="G13" s="5">
        <v>5</v>
      </c>
      <c r="H13" s="5">
        <v>5</v>
      </c>
      <c r="I13" s="5">
        <v>5</v>
      </c>
      <c r="J13" s="5">
        <v>5</v>
      </c>
      <c r="K13" s="5">
        <v>4</v>
      </c>
      <c r="L13" s="5">
        <v>5</v>
      </c>
      <c r="M13" s="5">
        <v>5</v>
      </c>
      <c r="N13" s="5">
        <v>5</v>
      </c>
      <c r="O13" s="5">
        <v>5</v>
      </c>
      <c r="P13" s="5">
        <v>5</v>
      </c>
      <c r="Q13" s="5">
        <v>1</v>
      </c>
      <c r="R13" s="6">
        <v>4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4</v>
      </c>
      <c r="Z13" s="5">
        <v>1</v>
      </c>
      <c r="AA13" s="5">
        <v>1</v>
      </c>
      <c r="AB13" s="6">
        <v>1</v>
      </c>
      <c r="AC13" s="5">
        <v>1</v>
      </c>
      <c r="AD13" s="5">
        <v>1</v>
      </c>
      <c r="AE13" s="5">
        <v>1</v>
      </c>
      <c r="AF13" s="5">
        <v>4</v>
      </c>
      <c r="AG13" s="5"/>
      <c r="AH13" s="7">
        <f t="shared" si="0"/>
        <v>13</v>
      </c>
      <c r="AI13" s="8">
        <f t="shared" si="1"/>
        <v>0</v>
      </c>
      <c r="AJ13" s="9">
        <f t="shared" si="2"/>
        <v>0</v>
      </c>
      <c r="AK13" s="10">
        <f t="shared" si="3"/>
        <v>5</v>
      </c>
      <c r="AL13" s="11">
        <f t="shared" si="4"/>
        <v>12</v>
      </c>
    </row>
    <row r="14" spans="1:38" x14ac:dyDescent="0.35">
      <c r="A14" s="3" t="s">
        <v>26</v>
      </c>
      <c r="B14" s="4" t="s">
        <v>27</v>
      </c>
      <c r="C14" s="5">
        <v>1</v>
      </c>
      <c r="D14" s="5">
        <v>4</v>
      </c>
      <c r="E14" s="5">
        <v>1</v>
      </c>
      <c r="F14" s="5">
        <v>3</v>
      </c>
      <c r="G14" s="5">
        <v>3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5</v>
      </c>
      <c r="P14" s="6">
        <v>5</v>
      </c>
      <c r="Q14" s="5">
        <v>1</v>
      </c>
      <c r="R14" s="5">
        <v>1</v>
      </c>
      <c r="S14" s="5">
        <v>4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4</v>
      </c>
      <c r="Z14" s="5">
        <v>1</v>
      </c>
      <c r="AA14" s="5">
        <v>3</v>
      </c>
      <c r="AB14" s="5">
        <v>1</v>
      </c>
      <c r="AC14" s="5">
        <v>1</v>
      </c>
      <c r="AD14" s="5">
        <v>1</v>
      </c>
      <c r="AE14" s="5">
        <v>1</v>
      </c>
      <c r="AF14" s="5">
        <v>4</v>
      </c>
      <c r="AG14" s="5"/>
      <c r="AH14" s="7">
        <f t="shared" si="0"/>
        <v>21</v>
      </c>
      <c r="AI14" s="8">
        <f t="shared" si="1"/>
        <v>0</v>
      </c>
      <c r="AJ14" s="9">
        <f t="shared" si="2"/>
        <v>3</v>
      </c>
      <c r="AK14" s="10">
        <f t="shared" si="3"/>
        <v>4</v>
      </c>
      <c r="AL14" s="11">
        <f t="shared" si="4"/>
        <v>2</v>
      </c>
    </row>
    <row r="15" spans="1:38" x14ac:dyDescent="0.35">
      <c r="A15" s="3" t="s">
        <v>28</v>
      </c>
      <c r="B15" s="4" t="s">
        <v>103</v>
      </c>
      <c r="C15" s="5">
        <v>4</v>
      </c>
      <c r="D15" s="5">
        <v>3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4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4</v>
      </c>
      <c r="R15" s="5">
        <v>3</v>
      </c>
      <c r="S15" s="5">
        <v>3</v>
      </c>
      <c r="T15" s="5">
        <v>3</v>
      </c>
      <c r="U15" s="5">
        <v>3</v>
      </c>
      <c r="V15" s="5">
        <v>1</v>
      </c>
      <c r="W15" s="5">
        <v>1</v>
      </c>
      <c r="X15" s="5">
        <v>4</v>
      </c>
      <c r="Y15" s="5">
        <v>1</v>
      </c>
      <c r="Z15" s="5">
        <v>1</v>
      </c>
      <c r="AA15" s="5">
        <v>1</v>
      </c>
      <c r="AB15" s="6"/>
      <c r="AC15" s="5"/>
      <c r="AD15" s="5"/>
      <c r="AE15" s="5"/>
      <c r="AF15" s="5"/>
      <c r="AG15" s="5"/>
      <c r="AH15" s="7">
        <f t="shared" si="0"/>
        <v>16</v>
      </c>
      <c r="AI15" s="8">
        <f t="shared" si="1"/>
        <v>0</v>
      </c>
      <c r="AJ15" s="9">
        <f t="shared" si="2"/>
        <v>5</v>
      </c>
      <c r="AK15" s="10">
        <f t="shared" si="3"/>
        <v>4</v>
      </c>
      <c r="AL15" s="11">
        <f t="shared" si="4"/>
        <v>0</v>
      </c>
    </row>
    <row r="16" spans="1:38" x14ac:dyDescent="0.35">
      <c r="A16" s="3" t="s">
        <v>143</v>
      </c>
      <c r="B16" s="4" t="s">
        <v>100</v>
      </c>
      <c r="C16" s="5">
        <v>3</v>
      </c>
      <c r="D16" s="5">
        <v>3</v>
      </c>
      <c r="E16" s="5">
        <v>1</v>
      </c>
      <c r="F16" s="5">
        <v>3</v>
      </c>
      <c r="G16" s="5">
        <v>3</v>
      </c>
      <c r="H16" s="5">
        <v>1</v>
      </c>
      <c r="I16" s="5">
        <v>2</v>
      </c>
      <c r="J16" s="5">
        <v>1</v>
      </c>
      <c r="K16" s="5">
        <v>4</v>
      </c>
      <c r="L16" s="5">
        <v>1</v>
      </c>
      <c r="M16" s="5">
        <v>1</v>
      </c>
      <c r="N16" s="5">
        <v>1</v>
      </c>
      <c r="O16" s="5">
        <v>1</v>
      </c>
      <c r="P16" s="6">
        <v>3</v>
      </c>
      <c r="Q16" s="5">
        <v>3</v>
      </c>
      <c r="R16" s="5">
        <v>4</v>
      </c>
      <c r="S16" s="5">
        <v>1</v>
      </c>
      <c r="T16" s="5">
        <v>1</v>
      </c>
      <c r="U16" s="5">
        <v>3</v>
      </c>
      <c r="V16" s="5">
        <v>3</v>
      </c>
      <c r="W16" s="5">
        <v>3</v>
      </c>
      <c r="X16" s="5">
        <v>1</v>
      </c>
      <c r="Y16" s="5">
        <v>4</v>
      </c>
      <c r="Z16" s="5">
        <v>1</v>
      </c>
      <c r="AA16" s="5">
        <v>2</v>
      </c>
      <c r="AB16" s="5">
        <v>1</v>
      </c>
      <c r="AC16" s="5">
        <v>1</v>
      </c>
      <c r="AD16" s="5">
        <v>1</v>
      </c>
      <c r="AE16" s="5">
        <v>4</v>
      </c>
      <c r="AF16" s="5">
        <v>1</v>
      </c>
      <c r="AG16" s="5"/>
      <c r="AH16" s="7">
        <f t="shared" si="0"/>
        <v>15</v>
      </c>
      <c r="AI16" s="8">
        <f t="shared" si="1"/>
        <v>2</v>
      </c>
      <c r="AJ16" s="9">
        <f t="shared" si="2"/>
        <v>9</v>
      </c>
      <c r="AK16" s="10">
        <f t="shared" si="3"/>
        <v>4</v>
      </c>
      <c r="AL16" s="11">
        <f t="shared" si="4"/>
        <v>0</v>
      </c>
    </row>
    <row r="17" spans="1:38" x14ac:dyDescent="0.35">
      <c r="A17" s="3" t="s">
        <v>39</v>
      </c>
      <c r="B17" s="4" t="s">
        <v>43</v>
      </c>
      <c r="C17" s="5">
        <v>1</v>
      </c>
      <c r="D17" s="5">
        <v>1</v>
      </c>
      <c r="E17" s="5">
        <v>4</v>
      </c>
      <c r="F17" s="5">
        <v>1</v>
      </c>
      <c r="G17" s="5">
        <v>1</v>
      </c>
      <c r="H17" s="5">
        <v>1</v>
      </c>
      <c r="I17" s="5">
        <v>4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4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4</v>
      </c>
      <c r="X17" s="5">
        <v>1</v>
      </c>
      <c r="Y17" s="5">
        <v>4</v>
      </c>
      <c r="Z17" s="5">
        <v>1</v>
      </c>
      <c r="AA17" s="5">
        <v>1</v>
      </c>
      <c r="AB17" s="5">
        <v>1</v>
      </c>
      <c r="AC17" s="5">
        <v>1</v>
      </c>
      <c r="AD17" s="5">
        <v>4</v>
      </c>
      <c r="AE17" s="5">
        <v>1</v>
      </c>
      <c r="AF17" s="5">
        <v>1</v>
      </c>
      <c r="AG17" s="5"/>
      <c r="AH17" s="7">
        <f t="shared" si="0"/>
        <v>24</v>
      </c>
      <c r="AI17" s="8">
        <f t="shared" si="1"/>
        <v>0</v>
      </c>
      <c r="AJ17" s="9">
        <f t="shared" si="2"/>
        <v>0</v>
      </c>
      <c r="AK17" s="10">
        <f t="shared" si="3"/>
        <v>6</v>
      </c>
      <c r="AL17" s="11">
        <f t="shared" si="4"/>
        <v>0</v>
      </c>
    </row>
    <row r="18" spans="1:38" x14ac:dyDescent="0.35">
      <c r="A18" s="3" t="s">
        <v>191</v>
      </c>
      <c r="B18" s="4" t="s">
        <v>186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1</v>
      </c>
      <c r="T18" s="5">
        <v>1</v>
      </c>
      <c r="U18" s="5">
        <v>1</v>
      </c>
      <c r="V18" s="5">
        <v>1</v>
      </c>
      <c r="W18" s="5">
        <v>3</v>
      </c>
      <c r="X18" s="5">
        <v>1</v>
      </c>
      <c r="Y18" s="5">
        <v>4</v>
      </c>
      <c r="Z18" s="5">
        <v>3</v>
      </c>
      <c r="AA18" s="5">
        <v>1</v>
      </c>
      <c r="AB18" s="5">
        <v>1</v>
      </c>
      <c r="AC18" s="5">
        <v>1</v>
      </c>
      <c r="AD18" s="5">
        <v>1</v>
      </c>
      <c r="AE18" s="5">
        <v>1</v>
      </c>
      <c r="AF18" s="5">
        <v>4</v>
      </c>
      <c r="AG18" s="5"/>
      <c r="AH18" s="7">
        <f t="shared" si="0"/>
        <v>10</v>
      </c>
      <c r="AI18" s="8">
        <f t="shared" si="1"/>
        <v>0</v>
      </c>
      <c r="AJ18" s="9">
        <f t="shared" si="2"/>
        <v>2</v>
      </c>
      <c r="AK18" s="10">
        <f t="shared" si="3"/>
        <v>2</v>
      </c>
      <c r="AL18" s="11">
        <f>COUNTIF(C17:AG17,"5")</f>
        <v>0</v>
      </c>
    </row>
    <row r="19" spans="1:38" x14ac:dyDescent="0.35">
      <c r="A19" s="3" t="s">
        <v>65</v>
      </c>
      <c r="B19" s="4" t="s">
        <v>185</v>
      </c>
      <c r="C19" s="5">
        <v>1</v>
      </c>
      <c r="D19" s="5">
        <v>1</v>
      </c>
      <c r="E19" s="5">
        <v>4</v>
      </c>
      <c r="F19" s="5">
        <v>1</v>
      </c>
      <c r="G19" s="5">
        <v>1</v>
      </c>
      <c r="H19" s="5">
        <v>2</v>
      </c>
      <c r="I19" s="5">
        <v>2</v>
      </c>
      <c r="J19" s="5">
        <v>1</v>
      </c>
      <c r="K19" s="5">
        <v>1</v>
      </c>
      <c r="L19" s="5">
        <v>1</v>
      </c>
      <c r="M19" s="5">
        <v>1</v>
      </c>
      <c r="N19" s="5">
        <v>2</v>
      </c>
      <c r="O19" s="5">
        <v>1</v>
      </c>
      <c r="P19" s="5">
        <v>1</v>
      </c>
      <c r="Q19" s="5">
        <v>1</v>
      </c>
      <c r="R19" s="5">
        <v>1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7">
        <f t="shared" si="0"/>
        <v>12</v>
      </c>
      <c r="AI19" s="8">
        <f t="shared" si="1"/>
        <v>3</v>
      </c>
      <c r="AJ19" s="9">
        <f t="shared" si="2"/>
        <v>0</v>
      </c>
      <c r="AK19" s="10">
        <f t="shared" si="3"/>
        <v>1</v>
      </c>
      <c r="AL19" s="11">
        <f t="shared" si="4"/>
        <v>0</v>
      </c>
    </row>
    <row r="20" spans="1:38" x14ac:dyDescent="0.35">
      <c r="A20" s="3" t="s">
        <v>192</v>
      </c>
      <c r="B20" s="4" t="s">
        <v>140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4</v>
      </c>
      <c r="T20" s="5">
        <v>1</v>
      </c>
      <c r="U20" s="5">
        <v>2</v>
      </c>
      <c r="V20" s="6">
        <v>1</v>
      </c>
      <c r="W20" s="5">
        <v>1</v>
      </c>
      <c r="X20" s="5">
        <v>1</v>
      </c>
      <c r="Y20" s="5">
        <v>4</v>
      </c>
      <c r="Z20" s="5">
        <v>1</v>
      </c>
      <c r="AA20" s="5">
        <v>1</v>
      </c>
      <c r="AB20" s="5">
        <v>1</v>
      </c>
      <c r="AC20" s="5">
        <v>1</v>
      </c>
      <c r="AD20" s="5">
        <v>1</v>
      </c>
      <c r="AE20" s="5">
        <v>1</v>
      </c>
      <c r="AF20" s="5">
        <v>4</v>
      </c>
      <c r="AG20" s="5"/>
      <c r="AH20" s="7">
        <f t="shared" si="0"/>
        <v>10</v>
      </c>
      <c r="AI20" s="8">
        <f t="shared" si="1"/>
        <v>1</v>
      </c>
      <c r="AJ20" s="9">
        <f t="shared" si="2"/>
        <v>0</v>
      </c>
      <c r="AK20" s="10">
        <f t="shared" si="3"/>
        <v>3</v>
      </c>
      <c r="AL20" s="11">
        <f t="shared" si="4"/>
        <v>0</v>
      </c>
    </row>
    <row r="21" spans="1:38" x14ac:dyDescent="0.35">
      <c r="A21" s="3" t="s">
        <v>32</v>
      </c>
      <c r="B21" s="4" t="s">
        <v>33</v>
      </c>
      <c r="C21" s="5">
        <v>1</v>
      </c>
      <c r="D21" s="5">
        <v>4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4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4</v>
      </c>
      <c r="S21" s="5">
        <v>1</v>
      </c>
      <c r="T21" s="5">
        <v>1</v>
      </c>
      <c r="U21" s="5">
        <v>5</v>
      </c>
      <c r="V21" s="5">
        <v>1</v>
      </c>
      <c r="W21" s="5">
        <v>1</v>
      </c>
      <c r="X21" s="5">
        <v>1</v>
      </c>
      <c r="Y21" s="6">
        <v>1</v>
      </c>
      <c r="Z21" s="5">
        <v>4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4</v>
      </c>
      <c r="AG21" s="5"/>
      <c r="AH21" s="7">
        <f t="shared" si="0"/>
        <v>24</v>
      </c>
      <c r="AI21" s="8">
        <f t="shared" si="1"/>
        <v>0</v>
      </c>
      <c r="AJ21" s="9">
        <f t="shared" si="2"/>
        <v>0</v>
      </c>
      <c r="AK21" s="10">
        <f t="shared" si="3"/>
        <v>5</v>
      </c>
      <c r="AL21" s="11">
        <f t="shared" si="4"/>
        <v>1</v>
      </c>
    </row>
    <row r="22" spans="1:38" x14ac:dyDescent="0.35">
      <c r="A22" s="3" t="s">
        <v>121</v>
      </c>
      <c r="B22" s="4" t="s">
        <v>138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4</v>
      </c>
      <c r="J22" s="5">
        <v>1</v>
      </c>
      <c r="K22" s="5">
        <v>1</v>
      </c>
      <c r="L22" s="5">
        <v>1</v>
      </c>
      <c r="M22" s="5">
        <v>4</v>
      </c>
      <c r="N22" s="5">
        <v>1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4</v>
      </c>
      <c r="X22" s="5">
        <v>1</v>
      </c>
      <c r="Y22" s="5">
        <v>1</v>
      </c>
      <c r="Z22" s="5">
        <v>1</v>
      </c>
      <c r="AA22" s="5">
        <v>4</v>
      </c>
      <c r="AB22" s="5">
        <v>1</v>
      </c>
      <c r="AC22" s="5">
        <v>1</v>
      </c>
      <c r="AD22" s="6">
        <v>1</v>
      </c>
      <c r="AE22" s="5">
        <v>3</v>
      </c>
      <c r="AF22" s="5">
        <v>3</v>
      </c>
      <c r="AG22" s="5"/>
      <c r="AH22" s="7">
        <f t="shared" si="0"/>
        <v>24</v>
      </c>
      <c r="AI22" s="8">
        <f t="shared" si="1"/>
        <v>0</v>
      </c>
      <c r="AJ22" s="9">
        <f t="shared" si="2"/>
        <v>2</v>
      </c>
      <c r="AK22" s="10">
        <f t="shared" si="3"/>
        <v>4</v>
      </c>
      <c r="AL22" s="11">
        <f t="shared" si="4"/>
        <v>0</v>
      </c>
    </row>
    <row r="23" spans="1:38" ht="13.5" customHeight="1" x14ac:dyDescent="0.35">
      <c r="A23" s="3" t="s">
        <v>37</v>
      </c>
      <c r="B23" s="4" t="s">
        <v>38</v>
      </c>
      <c r="C23" s="5">
        <v>1</v>
      </c>
      <c r="D23" s="5">
        <v>4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4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4</v>
      </c>
      <c r="U23" s="5">
        <v>1</v>
      </c>
      <c r="V23" s="5">
        <v>1</v>
      </c>
      <c r="W23" s="5">
        <v>1</v>
      </c>
      <c r="X23" s="5">
        <v>1</v>
      </c>
      <c r="Y23" s="6">
        <v>1</v>
      </c>
      <c r="Z23" s="5">
        <v>4</v>
      </c>
      <c r="AA23" s="5">
        <v>1</v>
      </c>
      <c r="AB23" s="6">
        <v>1</v>
      </c>
      <c r="AC23" s="5">
        <v>1</v>
      </c>
      <c r="AD23" s="5">
        <v>1</v>
      </c>
      <c r="AE23" s="5">
        <v>1</v>
      </c>
      <c r="AF23" s="5">
        <v>1</v>
      </c>
      <c r="AG23" s="5"/>
      <c r="AH23" s="7">
        <f t="shared" si="0"/>
        <v>26</v>
      </c>
      <c r="AI23" s="8">
        <f t="shared" si="1"/>
        <v>0</v>
      </c>
      <c r="AJ23" s="9">
        <f t="shared" si="2"/>
        <v>0</v>
      </c>
      <c r="AK23" s="10">
        <f t="shared" si="3"/>
        <v>4</v>
      </c>
      <c r="AL23" s="11">
        <f t="shared" si="4"/>
        <v>0</v>
      </c>
    </row>
    <row r="24" spans="1:38" x14ac:dyDescent="0.35">
      <c r="A24" s="3" t="s">
        <v>159</v>
      </c>
      <c r="B24" s="4" t="s">
        <v>40</v>
      </c>
      <c r="C24" s="5">
        <v>1</v>
      </c>
      <c r="D24" s="5">
        <v>1</v>
      </c>
      <c r="E24" s="5">
        <v>4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>
        <v>4</v>
      </c>
      <c r="M24" s="5">
        <v>1</v>
      </c>
      <c r="N24" s="5">
        <v>1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>
        <v>1</v>
      </c>
      <c r="W24" s="5">
        <v>1</v>
      </c>
      <c r="X24" s="5">
        <v>1</v>
      </c>
      <c r="Y24" s="5">
        <v>4</v>
      </c>
      <c r="Z24" s="5">
        <v>1</v>
      </c>
      <c r="AA24" s="5">
        <v>1</v>
      </c>
      <c r="AB24" s="5">
        <v>1</v>
      </c>
      <c r="AC24" s="5">
        <v>1</v>
      </c>
      <c r="AD24" s="5">
        <v>1</v>
      </c>
      <c r="AE24" s="5">
        <v>1</v>
      </c>
      <c r="AF24" s="5">
        <v>4</v>
      </c>
      <c r="AG24" s="5"/>
      <c r="AH24" s="7">
        <f t="shared" si="0"/>
        <v>26</v>
      </c>
      <c r="AI24" s="8">
        <f t="shared" si="1"/>
        <v>0</v>
      </c>
      <c r="AJ24" s="9">
        <f t="shared" si="2"/>
        <v>0</v>
      </c>
      <c r="AK24" s="10">
        <f t="shared" si="3"/>
        <v>4</v>
      </c>
      <c r="AL24" s="11">
        <f t="shared" si="4"/>
        <v>0</v>
      </c>
    </row>
    <row r="25" spans="1:38" x14ac:dyDescent="0.35">
      <c r="A25" s="3" t="s">
        <v>160</v>
      </c>
      <c r="B25" s="4" t="s">
        <v>31</v>
      </c>
      <c r="C25" s="5">
        <v>1</v>
      </c>
      <c r="D25" s="5">
        <v>4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4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E25" s="5"/>
      <c r="AF25" s="5"/>
      <c r="AG25" s="5"/>
      <c r="AH25" s="7">
        <f t="shared" si="0"/>
        <v>13</v>
      </c>
      <c r="AI25" s="8">
        <f t="shared" si="1"/>
        <v>0</v>
      </c>
      <c r="AJ25" s="9">
        <f t="shared" si="2"/>
        <v>0</v>
      </c>
      <c r="AK25" s="10">
        <f>COUNTIF(C25:AG25,"4")</f>
        <v>3</v>
      </c>
      <c r="AL25" s="11">
        <f>COUNTIF(C25:AG25,"5")</f>
        <v>0</v>
      </c>
    </row>
    <row r="26" spans="1:38" x14ac:dyDescent="0.35">
      <c r="A26" s="3" t="s">
        <v>184</v>
      </c>
      <c r="B26" s="4" t="s">
        <v>31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4</v>
      </c>
      <c r="Z26" s="5">
        <v>1</v>
      </c>
      <c r="AA26" s="5">
        <v>1</v>
      </c>
      <c r="AB26" s="6">
        <v>1</v>
      </c>
      <c r="AC26" s="5">
        <v>1</v>
      </c>
      <c r="AD26" s="5">
        <v>4</v>
      </c>
      <c r="AE26" s="5">
        <v>1</v>
      </c>
      <c r="AF26" s="5">
        <v>1</v>
      </c>
      <c r="AG26" s="5"/>
      <c r="AH26" s="7">
        <f t="shared" si="0"/>
        <v>12</v>
      </c>
      <c r="AI26" s="8">
        <f t="shared" si="1"/>
        <v>0</v>
      </c>
      <c r="AJ26" s="9">
        <f>COUNTIF(C25:AG25,"3")</f>
        <v>0</v>
      </c>
      <c r="AK26" s="10">
        <f>COUNTIF(C26:AG26,"4")</f>
        <v>2</v>
      </c>
      <c r="AL26" s="11">
        <f>COUNTIF(C26:AG26,"5")</f>
        <v>0</v>
      </c>
    </row>
    <row r="27" spans="1:38" x14ac:dyDescent="0.35">
      <c r="A27" s="4" t="s">
        <v>195</v>
      </c>
      <c r="B27" s="4" t="s">
        <v>189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4</v>
      </c>
      <c r="J27" s="5">
        <v>1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4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4</v>
      </c>
      <c r="X27" s="5">
        <v>1</v>
      </c>
      <c r="Y27" s="5">
        <v>1</v>
      </c>
      <c r="Z27" s="5">
        <v>1</v>
      </c>
      <c r="AA27" s="5">
        <v>1</v>
      </c>
      <c r="AB27" s="5">
        <v>1</v>
      </c>
      <c r="AC27" s="5">
        <v>1</v>
      </c>
      <c r="AD27" s="5">
        <v>4</v>
      </c>
      <c r="AE27" s="5">
        <v>1</v>
      </c>
      <c r="AF27" s="5">
        <v>1</v>
      </c>
      <c r="AG27" s="5"/>
      <c r="AH27" s="7">
        <f t="shared" si="0"/>
        <v>26</v>
      </c>
      <c r="AI27" s="8">
        <f t="shared" si="1"/>
        <v>0</v>
      </c>
      <c r="AJ27" s="9">
        <f>COUNTIF(C26:AG26,"3")</f>
        <v>0</v>
      </c>
      <c r="AK27" s="10">
        <f>COUNTIF(C27:AG27,"4")</f>
        <v>4</v>
      </c>
      <c r="AL27" s="11">
        <f>COUNTIF(C27:AG27,"5")</f>
        <v>0</v>
      </c>
    </row>
    <row r="28" spans="1:38" x14ac:dyDescent="0.35">
      <c r="A28" s="4" t="s">
        <v>182</v>
      </c>
      <c r="B28" s="4" t="s">
        <v>188</v>
      </c>
      <c r="C28" s="5"/>
      <c r="D28" s="5"/>
      <c r="E28" s="5"/>
      <c r="F28" s="5"/>
      <c r="G28" s="5"/>
      <c r="H28" s="5"/>
      <c r="I28" s="5"/>
      <c r="J28" s="5"/>
      <c r="K28" s="5"/>
      <c r="L28" s="5">
        <v>1</v>
      </c>
      <c r="M28" s="5">
        <v>1</v>
      </c>
      <c r="N28" s="5">
        <v>1</v>
      </c>
      <c r="O28" s="5">
        <v>1</v>
      </c>
      <c r="P28" s="5">
        <v>4</v>
      </c>
      <c r="Q28" s="5">
        <v>1</v>
      </c>
      <c r="R28" s="5">
        <v>3</v>
      </c>
      <c r="S28" s="5">
        <v>1</v>
      </c>
      <c r="T28" s="5">
        <v>1</v>
      </c>
      <c r="U28" s="5">
        <v>1</v>
      </c>
      <c r="V28" s="5">
        <v>1</v>
      </c>
      <c r="W28" s="5">
        <v>4</v>
      </c>
      <c r="X28" s="5">
        <v>1</v>
      </c>
      <c r="Y28" s="5">
        <v>1</v>
      </c>
      <c r="Z28" s="5">
        <v>1</v>
      </c>
      <c r="AA28" s="5">
        <v>1</v>
      </c>
      <c r="AB28" s="5">
        <v>1</v>
      </c>
      <c r="AC28" s="5">
        <v>1</v>
      </c>
      <c r="AD28" s="5">
        <v>4</v>
      </c>
      <c r="AE28" s="5">
        <v>1</v>
      </c>
      <c r="AF28" s="5">
        <v>1</v>
      </c>
      <c r="AG28" s="5"/>
      <c r="AH28" s="7">
        <f t="shared" si="0"/>
        <v>17</v>
      </c>
      <c r="AI28" s="8">
        <f t="shared" si="1"/>
        <v>0</v>
      </c>
      <c r="AJ28" s="9">
        <f t="shared" si="2"/>
        <v>1</v>
      </c>
      <c r="AK28" s="10">
        <f t="shared" si="3"/>
        <v>3</v>
      </c>
      <c r="AL28" s="11">
        <f>COUNTIF(C28:AG28,"5")</f>
        <v>0</v>
      </c>
    </row>
    <row r="29" spans="1:38" x14ac:dyDescent="0.35">
      <c r="A29" s="4" t="s">
        <v>181</v>
      </c>
      <c r="B29" s="4" t="s">
        <v>183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1</v>
      </c>
      <c r="N29" s="5">
        <v>1</v>
      </c>
      <c r="O29" s="5">
        <v>1</v>
      </c>
      <c r="P29" s="5">
        <v>4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4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4</v>
      </c>
      <c r="AE29" s="6">
        <v>1</v>
      </c>
      <c r="AF29" s="5">
        <v>1</v>
      </c>
      <c r="AG29" s="5"/>
      <c r="AH29" s="7">
        <f t="shared" si="0"/>
        <v>17</v>
      </c>
      <c r="AI29" s="8">
        <f t="shared" si="1"/>
        <v>0</v>
      </c>
      <c r="AJ29" s="9">
        <f t="shared" si="2"/>
        <v>0</v>
      </c>
      <c r="AK29" s="10">
        <f t="shared" si="3"/>
        <v>3</v>
      </c>
      <c r="AL29" s="11">
        <f>COUNTIF(C29:AG29,"5")</f>
        <v>0</v>
      </c>
    </row>
    <row r="30" spans="1:38" x14ac:dyDescent="0.35">
      <c r="A30" s="4" t="s">
        <v>175</v>
      </c>
      <c r="B30" s="4" t="s">
        <v>190</v>
      </c>
      <c r="C30" s="5">
        <v>1</v>
      </c>
      <c r="D30" s="5">
        <v>1</v>
      </c>
      <c r="E30" s="5">
        <v>1</v>
      </c>
      <c r="F30" s="5">
        <v>4</v>
      </c>
      <c r="G30" s="5">
        <v>1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1</v>
      </c>
      <c r="P30" s="5">
        <v>4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4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5">
        <v>1</v>
      </c>
      <c r="AD30" s="5">
        <v>4</v>
      </c>
      <c r="AE30" s="5">
        <v>1</v>
      </c>
      <c r="AF30" s="5">
        <v>1</v>
      </c>
      <c r="AG30" s="5"/>
      <c r="AH30" s="7">
        <f t="shared" si="0"/>
        <v>26</v>
      </c>
      <c r="AI30" s="8">
        <f t="shared" si="1"/>
        <v>0</v>
      </c>
      <c r="AJ30" s="9">
        <f t="shared" si="2"/>
        <v>0</v>
      </c>
      <c r="AK30" s="10">
        <f t="shared" si="3"/>
        <v>4</v>
      </c>
      <c r="AL30" s="11">
        <f t="shared" si="4"/>
        <v>0</v>
      </c>
    </row>
    <row r="31" spans="1:38" x14ac:dyDescent="0.35">
      <c r="A31" s="4" t="s">
        <v>145</v>
      </c>
      <c r="B31" s="4" t="s">
        <v>146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4</v>
      </c>
      <c r="J31" s="5">
        <v>1</v>
      </c>
      <c r="K31" s="5">
        <v>1</v>
      </c>
      <c r="L31" s="5">
        <v>1</v>
      </c>
      <c r="M31" s="5">
        <v>1</v>
      </c>
      <c r="N31" s="5">
        <v>1</v>
      </c>
      <c r="O31" s="5">
        <v>1</v>
      </c>
      <c r="P31" s="5">
        <v>4</v>
      </c>
      <c r="Q31" s="5">
        <v>1</v>
      </c>
      <c r="R31" s="5">
        <v>1</v>
      </c>
      <c r="S31" s="5">
        <v>1</v>
      </c>
      <c r="T31" s="5">
        <v>1</v>
      </c>
      <c r="U31" s="6">
        <v>1</v>
      </c>
      <c r="V31" s="5">
        <v>1</v>
      </c>
      <c r="W31" s="5">
        <v>4</v>
      </c>
      <c r="X31" s="5">
        <v>1</v>
      </c>
      <c r="Y31" s="5">
        <v>1</v>
      </c>
      <c r="Z31" s="5">
        <v>1</v>
      </c>
      <c r="AA31" s="5">
        <v>1</v>
      </c>
      <c r="AB31" s="5">
        <v>1</v>
      </c>
      <c r="AC31" s="5">
        <v>1</v>
      </c>
      <c r="AD31" s="5">
        <v>4</v>
      </c>
      <c r="AE31" s="5">
        <v>1</v>
      </c>
      <c r="AF31" s="5">
        <v>1</v>
      </c>
      <c r="AG31" s="5"/>
      <c r="AH31" s="7">
        <f t="shared" si="0"/>
        <v>26</v>
      </c>
      <c r="AI31" s="8">
        <f t="shared" si="1"/>
        <v>0</v>
      </c>
      <c r="AJ31" s="9">
        <f t="shared" si="2"/>
        <v>0</v>
      </c>
      <c r="AK31" s="10">
        <f t="shared" si="3"/>
        <v>4</v>
      </c>
      <c r="AL31" s="11">
        <f t="shared" si="4"/>
        <v>0</v>
      </c>
    </row>
    <row r="32" spans="1:38" x14ac:dyDescent="0.35">
      <c r="A32" s="4" t="s">
        <v>174</v>
      </c>
      <c r="B32" s="4" t="s">
        <v>173</v>
      </c>
      <c r="C32" s="5">
        <v>3</v>
      </c>
      <c r="D32" s="5">
        <v>3</v>
      </c>
      <c r="E32" s="5">
        <v>3</v>
      </c>
      <c r="F32" s="5">
        <v>3</v>
      </c>
      <c r="G32" s="5">
        <v>1</v>
      </c>
      <c r="H32" s="5">
        <v>1</v>
      </c>
      <c r="I32" s="5">
        <v>4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1</v>
      </c>
      <c r="P32" s="5">
        <v>4</v>
      </c>
      <c r="Q32" s="6">
        <v>1</v>
      </c>
      <c r="R32" s="6">
        <v>1</v>
      </c>
      <c r="S32" s="5">
        <v>3</v>
      </c>
      <c r="T32" s="5">
        <v>2</v>
      </c>
      <c r="U32" s="5">
        <v>1</v>
      </c>
      <c r="V32" s="5">
        <v>3</v>
      </c>
      <c r="W32" s="5">
        <v>3</v>
      </c>
      <c r="X32" s="5">
        <v>3</v>
      </c>
      <c r="Y32" s="5"/>
      <c r="Z32" s="5"/>
      <c r="AA32" s="5"/>
      <c r="AB32" s="5"/>
      <c r="AC32" s="5"/>
      <c r="AD32" s="5"/>
      <c r="AE32" s="5"/>
      <c r="AF32" s="5"/>
      <c r="AG32" s="5"/>
      <c r="AH32" s="7">
        <f t="shared" si="0"/>
        <v>11</v>
      </c>
      <c r="AI32" s="8">
        <f t="shared" si="1"/>
        <v>1</v>
      </c>
      <c r="AJ32" s="9">
        <f t="shared" si="2"/>
        <v>8</v>
      </c>
      <c r="AK32" s="10">
        <f t="shared" si="3"/>
        <v>2</v>
      </c>
      <c r="AL32" s="11">
        <f t="shared" si="4"/>
        <v>0</v>
      </c>
    </row>
    <row r="33" spans="18:19" x14ac:dyDescent="0.35">
      <c r="R33" s="5"/>
      <c r="S33" s="5"/>
    </row>
  </sheetData>
  <mergeCells count="8">
    <mergeCell ref="A1:AL1"/>
    <mergeCell ref="A2:A3"/>
    <mergeCell ref="B2:B3"/>
    <mergeCell ref="AH2:AH3"/>
    <mergeCell ref="AI2:AI3"/>
    <mergeCell ref="AJ2:AJ3"/>
    <mergeCell ref="AK2:AK3"/>
    <mergeCell ref="AL2:AL3"/>
  </mergeCells>
  <conditionalFormatting sqref="C4:AC6 AD4:AG12 C7:R7 S7:AC12 P8:R15 C8:O30 S13:AG15 P16:AG22 AB23:AG24 P23:AA30 AB25:AC25 AE25:AG25 AB26:AG32 C31:AA32 R33:S33">
    <cfRule type="cellIs" dxfId="19" priority="1" operator="equal">
      <formula>1</formula>
    </cfRule>
    <cfRule type="cellIs" dxfId="18" priority="2" operator="equal">
      <formula>2</formula>
    </cfRule>
    <cfRule type="cellIs" dxfId="17" priority="3" operator="equal">
      <formula>3</formula>
    </cfRule>
    <cfRule type="cellIs" dxfId="16" priority="4" operator="equal">
      <formula>4</formula>
    </cfRule>
    <cfRule type="cellIs" dxfId="15" priority="5" operator="equal">
      <formula>5</formula>
    </cfRule>
  </conditionalFormatting>
  <pageMargins left="0.7" right="0.7" top="0.75" bottom="0.75" header="0.3" footer="0.3"/>
  <ignoredErrors>
    <ignoredError sqref="AI10:AJ10 AJ26" 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C4858-9C46-4207-91BD-E8E64694F9AD}">
  <dimension ref="A1:AL30"/>
  <sheetViews>
    <sheetView topLeftCell="L1" zoomScale="62" zoomScaleNormal="62" workbookViewId="0">
      <selection activeCell="J33" sqref="J33"/>
    </sheetView>
  </sheetViews>
  <sheetFormatPr baseColWidth="10" defaultRowHeight="14.5" x14ac:dyDescent="0.35"/>
  <cols>
    <col min="1" max="1" width="42.26953125" customWidth="1"/>
    <col min="2" max="2" width="55" customWidth="1"/>
    <col min="33" max="33" width="12.26953125" bestFit="1" customWidth="1"/>
  </cols>
  <sheetData>
    <row r="1" spans="1:38" x14ac:dyDescent="0.35">
      <c r="A1" s="23" t="s">
        <v>207</v>
      </c>
      <c r="B1" s="23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21" t="s">
        <v>152</v>
      </c>
      <c r="AI1" s="21" t="s">
        <v>78</v>
      </c>
      <c r="AJ1" s="21" t="s">
        <v>79</v>
      </c>
      <c r="AK1" s="21" t="s">
        <v>153</v>
      </c>
      <c r="AL1" s="21" t="s">
        <v>154</v>
      </c>
    </row>
    <row r="2" spans="1:38" x14ac:dyDescent="0.35">
      <c r="A2" s="24"/>
      <c r="B2" s="24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3</v>
      </c>
      <c r="P2" s="2" t="s">
        <v>4</v>
      </c>
      <c r="Q2" s="2" t="s">
        <v>5</v>
      </c>
      <c r="R2" s="2" t="s">
        <v>6</v>
      </c>
      <c r="S2" s="2" t="s">
        <v>7</v>
      </c>
      <c r="T2" s="2" t="s">
        <v>8</v>
      </c>
      <c r="U2" s="2" t="s">
        <v>9</v>
      </c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3</v>
      </c>
      <c r="AD2" s="2" t="s">
        <v>4</v>
      </c>
      <c r="AE2" s="2" t="s">
        <v>5</v>
      </c>
      <c r="AF2" s="2" t="s">
        <v>6</v>
      </c>
      <c r="AG2" s="2" t="s">
        <v>7</v>
      </c>
      <c r="AH2" s="22"/>
      <c r="AI2" s="22"/>
      <c r="AJ2" s="22"/>
      <c r="AK2" s="22"/>
      <c r="AL2" s="22"/>
    </row>
    <row r="3" spans="1:38" x14ac:dyDescent="0.35">
      <c r="A3" s="3" t="s">
        <v>158</v>
      </c>
      <c r="B3" s="4" t="s">
        <v>162</v>
      </c>
      <c r="C3" s="5">
        <v>1</v>
      </c>
      <c r="D3" s="5">
        <v>4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4</v>
      </c>
      <c r="L3" s="5">
        <v>1</v>
      </c>
      <c r="M3" s="5">
        <v>1</v>
      </c>
      <c r="N3" s="5">
        <v>1</v>
      </c>
      <c r="O3" s="5">
        <v>1</v>
      </c>
      <c r="P3" s="5">
        <v>4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4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4</v>
      </c>
      <c r="AG3" s="5">
        <v>1</v>
      </c>
      <c r="AH3" s="7">
        <f>COUNTIF(C3:AG3,"1")</f>
        <v>26</v>
      </c>
      <c r="AI3" s="8">
        <f>COUNTIF(C3:AG3,"2")</f>
        <v>0</v>
      </c>
      <c r="AJ3" s="9">
        <f>COUNTIF(C3:AG3,"3")</f>
        <v>0</v>
      </c>
      <c r="AK3" s="10">
        <f>COUNTIF(C3:AG3,"4")</f>
        <v>5</v>
      </c>
      <c r="AL3" s="11">
        <f>COUNTIF(C3:AG3,"5")</f>
        <v>0</v>
      </c>
    </row>
    <row r="4" spans="1:38" x14ac:dyDescent="0.35">
      <c r="A4" s="3" t="s">
        <v>160</v>
      </c>
      <c r="B4" s="4" t="s">
        <v>109</v>
      </c>
      <c r="C4" s="5">
        <v>1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4</v>
      </c>
      <c r="J4" s="5">
        <v>1</v>
      </c>
      <c r="K4" s="5">
        <v>1</v>
      </c>
      <c r="L4" s="5">
        <v>2</v>
      </c>
      <c r="M4" s="5">
        <v>1</v>
      </c>
      <c r="N4" s="5">
        <v>1</v>
      </c>
      <c r="O4" s="5">
        <v>1</v>
      </c>
      <c r="P4" s="5">
        <v>4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6">
        <v>4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4</v>
      </c>
      <c r="AE4" s="5">
        <v>1</v>
      </c>
      <c r="AF4" s="5">
        <v>1</v>
      </c>
      <c r="AG4" s="5">
        <v>1</v>
      </c>
      <c r="AH4" s="7">
        <f>COUNTIF(C4:AG4,"1")</f>
        <v>26</v>
      </c>
      <c r="AI4" s="8">
        <f t="shared" ref="AI4:AI30" si="0">COUNTIF(C4:AG4,"2")</f>
        <v>1</v>
      </c>
      <c r="AJ4" s="9">
        <f t="shared" ref="AJ4:AJ30" si="1">COUNTIF(C4:AG4,"3")</f>
        <v>0</v>
      </c>
      <c r="AK4" s="10">
        <f t="shared" ref="AK4:AK30" si="2">COUNTIF(C4:AG4,"4")</f>
        <v>4</v>
      </c>
      <c r="AL4" s="11">
        <f t="shared" ref="AL4:AL30" si="3">COUNTIF(C4:AG4,"5")</f>
        <v>0</v>
      </c>
    </row>
    <row r="5" spans="1:38" x14ac:dyDescent="0.35">
      <c r="A5" s="3" t="s">
        <v>143</v>
      </c>
      <c r="B5" s="4" t="s">
        <v>188</v>
      </c>
      <c r="C5" s="5">
        <v>1</v>
      </c>
      <c r="D5" s="5">
        <v>1</v>
      </c>
      <c r="E5" s="5">
        <v>1</v>
      </c>
      <c r="F5" s="5">
        <v>1</v>
      </c>
      <c r="G5" s="5">
        <v>4</v>
      </c>
      <c r="H5" s="5">
        <v>1</v>
      </c>
      <c r="I5" s="5">
        <v>1</v>
      </c>
      <c r="J5" s="5">
        <v>1</v>
      </c>
      <c r="K5" s="5">
        <v>2</v>
      </c>
      <c r="L5" s="5">
        <v>1</v>
      </c>
      <c r="M5" s="5">
        <v>1</v>
      </c>
      <c r="N5" s="5">
        <v>4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4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1</v>
      </c>
      <c r="AB5" s="5">
        <v>4</v>
      </c>
      <c r="AC5" s="5">
        <v>1</v>
      </c>
      <c r="AD5" s="5">
        <v>1</v>
      </c>
      <c r="AE5" s="5">
        <v>1</v>
      </c>
      <c r="AF5" s="5">
        <v>1</v>
      </c>
      <c r="AG5" s="6">
        <v>1</v>
      </c>
      <c r="AH5" s="7">
        <f>COUNTIF(C5:AG5,"1")</f>
        <v>26</v>
      </c>
      <c r="AI5" s="8">
        <f>COUNTIF(C5:AG5,"2")</f>
        <v>1</v>
      </c>
      <c r="AJ5" s="9">
        <f>COUNTIF(C5:AG5,"3")</f>
        <v>0</v>
      </c>
      <c r="AK5" s="10">
        <f>COUNTIF(C5:AG5,"4")</f>
        <v>4</v>
      </c>
      <c r="AL5" s="11">
        <f>COUNTIF(C5:AG5,"5")</f>
        <v>0</v>
      </c>
    </row>
    <row r="6" spans="1:38" x14ac:dyDescent="0.35">
      <c r="A6" s="3" t="s">
        <v>15</v>
      </c>
      <c r="B6" s="4" t="s">
        <v>14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4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4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4</v>
      </c>
      <c r="X6" s="5">
        <v>1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4</v>
      </c>
      <c r="AF6" s="5">
        <v>1</v>
      </c>
      <c r="AG6" s="5">
        <v>1</v>
      </c>
      <c r="AH6" s="7">
        <f t="shared" ref="AH6:AH30" si="4">COUNTIF(C6:AG6,"1")</f>
        <v>27</v>
      </c>
      <c r="AI6" s="8">
        <f t="shared" si="0"/>
        <v>0</v>
      </c>
      <c r="AJ6" s="9">
        <f t="shared" si="1"/>
        <v>0</v>
      </c>
      <c r="AK6" s="10">
        <f t="shared" si="2"/>
        <v>4</v>
      </c>
      <c r="AL6" s="11">
        <f t="shared" si="3"/>
        <v>0</v>
      </c>
    </row>
    <row r="7" spans="1:38" x14ac:dyDescent="0.35">
      <c r="A7" s="3" t="s">
        <v>196</v>
      </c>
      <c r="B7" s="14" t="s">
        <v>200</v>
      </c>
      <c r="C7" s="5">
        <v>1</v>
      </c>
      <c r="D7" s="5">
        <v>1</v>
      </c>
      <c r="E7" s="5">
        <v>5</v>
      </c>
      <c r="F7" s="5">
        <v>5</v>
      </c>
      <c r="G7" s="5">
        <v>5</v>
      </c>
      <c r="H7" s="5">
        <v>5</v>
      </c>
      <c r="I7" s="5">
        <v>5</v>
      </c>
      <c r="J7" s="5">
        <v>5</v>
      </c>
      <c r="K7" s="5">
        <v>4</v>
      </c>
      <c r="L7" s="5">
        <v>1</v>
      </c>
      <c r="M7" s="5">
        <v>1</v>
      </c>
      <c r="N7" s="5">
        <v>1</v>
      </c>
      <c r="O7" s="5">
        <v>1</v>
      </c>
      <c r="P7" s="5">
        <v>4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4</v>
      </c>
      <c r="X7" s="5">
        <v>1</v>
      </c>
      <c r="Y7" s="5">
        <v>1</v>
      </c>
      <c r="Z7" s="6">
        <v>1</v>
      </c>
      <c r="AA7" s="5">
        <v>1</v>
      </c>
      <c r="AB7" s="5">
        <v>1</v>
      </c>
      <c r="AC7" s="5">
        <v>1</v>
      </c>
      <c r="AD7" s="5">
        <v>4</v>
      </c>
      <c r="AE7" s="5">
        <v>1</v>
      </c>
      <c r="AF7" s="5">
        <v>1</v>
      </c>
      <c r="AG7" s="5">
        <v>1</v>
      </c>
      <c r="AH7" s="7">
        <f t="shared" si="4"/>
        <v>21</v>
      </c>
      <c r="AI7" s="8">
        <f t="shared" si="0"/>
        <v>0</v>
      </c>
      <c r="AJ7" s="9">
        <f t="shared" si="1"/>
        <v>0</v>
      </c>
      <c r="AK7" s="10">
        <f t="shared" si="2"/>
        <v>4</v>
      </c>
      <c r="AL7" s="11">
        <f t="shared" si="3"/>
        <v>6</v>
      </c>
    </row>
    <row r="8" spans="1:38" x14ac:dyDescent="0.35">
      <c r="A8" s="3" t="s">
        <v>193</v>
      </c>
      <c r="B8" s="4" t="s">
        <v>217</v>
      </c>
      <c r="C8" s="5">
        <v>1</v>
      </c>
      <c r="D8" s="5">
        <v>1</v>
      </c>
      <c r="E8" s="5">
        <v>1</v>
      </c>
      <c r="F8" s="5">
        <v>3</v>
      </c>
      <c r="G8" s="5">
        <v>3</v>
      </c>
      <c r="H8" s="5">
        <v>1</v>
      </c>
      <c r="I8" s="5">
        <v>4</v>
      </c>
      <c r="J8" s="5">
        <v>1</v>
      </c>
      <c r="K8" s="5">
        <v>1</v>
      </c>
      <c r="L8" s="5">
        <v>1</v>
      </c>
      <c r="M8" s="5">
        <v>3</v>
      </c>
      <c r="N8" s="5">
        <v>1</v>
      </c>
      <c r="O8" s="5">
        <v>1</v>
      </c>
      <c r="P8" s="5">
        <v>4</v>
      </c>
      <c r="Q8" s="5">
        <v>1</v>
      </c>
      <c r="R8" s="5">
        <v>1</v>
      </c>
      <c r="S8" s="5">
        <v>1</v>
      </c>
      <c r="T8" s="5">
        <v>1</v>
      </c>
      <c r="U8" s="5">
        <v>2</v>
      </c>
      <c r="V8" s="6">
        <v>1</v>
      </c>
      <c r="W8" s="5">
        <v>4</v>
      </c>
      <c r="X8" s="5">
        <v>1</v>
      </c>
      <c r="Y8" s="5">
        <v>1</v>
      </c>
      <c r="Z8" s="5">
        <v>1</v>
      </c>
      <c r="AA8" s="6">
        <v>1</v>
      </c>
      <c r="AB8" s="5">
        <v>1</v>
      </c>
      <c r="AC8" s="5">
        <v>3</v>
      </c>
      <c r="AD8" s="5">
        <v>4</v>
      </c>
      <c r="AE8" s="6">
        <v>1</v>
      </c>
      <c r="AF8" s="5">
        <v>1</v>
      </c>
      <c r="AG8" s="5">
        <v>1</v>
      </c>
      <c r="AH8" s="7">
        <f t="shared" si="4"/>
        <v>22</v>
      </c>
      <c r="AI8" s="8">
        <f t="shared" si="0"/>
        <v>1</v>
      </c>
      <c r="AJ8" s="9">
        <f t="shared" si="1"/>
        <v>4</v>
      </c>
      <c r="AK8" s="10">
        <f t="shared" si="2"/>
        <v>4</v>
      </c>
      <c r="AL8" s="11">
        <f t="shared" si="3"/>
        <v>0</v>
      </c>
    </row>
    <row r="9" spans="1:38" x14ac:dyDescent="0.35">
      <c r="A9" s="3" t="s">
        <v>178</v>
      </c>
      <c r="B9" s="4" t="s">
        <v>179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4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6">
        <v>4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4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4</v>
      </c>
      <c r="AE9" s="5">
        <v>1</v>
      </c>
      <c r="AF9" s="6">
        <v>1</v>
      </c>
      <c r="AG9" s="6">
        <v>1</v>
      </c>
      <c r="AH9" s="7">
        <f t="shared" si="4"/>
        <v>27</v>
      </c>
      <c r="AI9" s="8">
        <f>COUNTIF(C8:AG8,"2")</f>
        <v>1</v>
      </c>
      <c r="AJ9" s="9">
        <f>COUNTIF(C8:AG8,"3")</f>
        <v>4</v>
      </c>
      <c r="AK9" s="10">
        <f t="shared" si="2"/>
        <v>4</v>
      </c>
      <c r="AL9" s="11">
        <f t="shared" si="3"/>
        <v>0</v>
      </c>
    </row>
    <row r="10" spans="1:38" x14ac:dyDescent="0.35">
      <c r="A10" s="3" t="s">
        <v>21</v>
      </c>
      <c r="B10" s="4" t="s">
        <v>124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4</v>
      </c>
      <c r="J10" s="5">
        <v>1</v>
      </c>
      <c r="K10" s="5">
        <v>1</v>
      </c>
      <c r="L10" s="5">
        <v>3</v>
      </c>
      <c r="M10" s="5">
        <v>3</v>
      </c>
      <c r="N10" s="5">
        <v>1</v>
      </c>
      <c r="O10" s="5">
        <v>1</v>
      </c>
      <c r="P10" s="5">
        <v>4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4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4</v>
      </c>
      <c r="AE10" s="6">
        <v>1</v>
      </c>
      <c r="AF10" s="5">
        <v>1</v>
      </c>
      <c r="AG10" s="5">
        <v>1</v>
      </c>
      <c r="AH10" s="7">
        <f>COUNTIF(C10:AG10,"1")</f>
        <v>25</v>
      </c>
      <c r="AI10" s="8">
        <f>COUNTIF(C9:AG9,"2")</f>
        <v>0</v>
      </c>
      <c r="AJ10" s="9">
        <f>COUNTIF(C10:AG10,"3")</f>
        <v>2</v>
      </c>
      <c r="AK10" s="10">
        <f>COUNTIF(C10:AG10,"4")</f>
        <v>4</v>
      </c>
      <c r="AL10" s="11">
        <f>COUNTIF(C10:AG10,"5")</f>
        <v>0</v>
      </c>
    </row>
    <row r="11" spans="1:38" x14ac:dyDescent="0.35">
      <c r="A11" s="3" t="s">
        <v>194</v>
      </c>
      <c r="B11" s="4" t="s">
        <v>100</v>
      </c>
      <c r="C11" s="5">
        <v>3</v>
      </c>
      <c r="D11" s="5">
        <v>3</v>
      </c>
      <c r="E11" s="5">
        <v>1</v>
      </c>
      <c r="F11" s="5">
        <v>1</v>
      </c>
      <c r="G11" s="5">
        <v>1</v>
      </c>
      <c r="H11" s="5">
        <v>3</v>
      </c>
      <c r="I11" s="5">
        <v>4</v>
      </c>
      <c r="J11" s="5">
        <v>3</v>
      </c>
      <c r="K11" s="5">
        <v>3</v>
      </c>
      <c r="L11" s="5">
        <v>3</v>
      </c>
      <c r="M11" s="5">
        <v>1</v>
      </c>
      <c r="N11" s="5">
        <v>1</v>
      </c>
      <c r="O11" s="5">
        <v>4</v>
      </c>
      <c r="P11" s="5">
        <v>1</v>
      </c>
      <c r="Q11" s="5">
        <v>1</v>
      </c>
      <c r="R11" s="5">
        <v>3</v>
      </c>
      <c r="S11" s="5">
        <v>3</v>
      </c>
      <c r="T11" s="5">
        <v>5</v>
      </c>
      <c r="U11" s="5">
        <v>5</v>
      </c>
      <c r="V11" s="5">
        <v>1</v>
      </c>
      <c r="W11" s="5">
        <v>4</v>
      </c>
      <c r="X11" s="5">
        <v>1</v>
      </c>
      <c r="Y11" s="5">
        <v>3</v>
      </c>
      <c r="Z11" s="5">
        <v>3</v>
      </c>
      <c r="AA11" s="5">
        <v>3</v>
      </c>
      <c r="AB11" s="5">
        <v>3</v>
      </c>
      <c r="AC11" s="5">
        <v>3</v>
      </c>
      <c r="AD11" s="5">
        <v>4</v>
      </c>
      <c r="AE11" s="5">
        <v>3</v>
      </c>
      <c r="AF11" s="5">
        <v>1</v>
      </c>
      <c r="AG11" s="5">
        <v>1</v>
      </c>
      <c r="AH11" s="7">
        <f t="shared" si="4"/>
        <v>11</v>
      </c>
      <c r="AI11" s="8">
        <f>COUNTIF(C10:AG10,"2")</f>
        <v>0</v>
      </c>
      <c r="AJ11" s="9">
        <f t="shared" si="1"/>
        <v>14</v>
      </c>
      <c r="AK11" s="10">
        <f>COUNTIF(C10:AG10,"4")</f>
        <v>4</v>
      </c>
      <c r="AL11" s="11">
        <f t="shared" si="3"/>
        <v>2</v>
      </c>
    </row>
    <row r="12" spans="1:38" x14ac:dyDescent="0.35">
      <c r="A12" s="3" t="s">
        <v>23</v>
      </c>
      <c r="B12" s="4" t="s">
        <v>133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4</v>
      </c>
      <c r="J12" s="5">
        <v>1</v>
      </c>
      <c r="K12" s="5">
        <v>3</v>
      </c>
      <c r="L12" s="5">
        <v>3</v>
      </c>
      <c r="M12" s="5">
        <v>1</v>
      </c>
      <c r="N12" s="5">
        <v>1</v>
      </c>
      <c r="O12" s="5">
        <v>1</v>
      </c>
      <c r="P12" s="5">
        <v>4</v>
      </c>
      <c r="Q12" s="5">
        <v>3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4</v>
      </c>
      <c r="X12" s="5">
        <v>1</v>
      </c>
      <c r="Y12" s="5">
        <v>1</v>
      </c>
      <c r="Z12" s="5">
        <v>1</v>
      </c>
      <c r="AA12" s="5">
        <v>1</v>
      </c>
      <c r="AB12" s="5">
        <v>1</v>
      </c>
      <c r="AC12" s="5">
        <v>1</v>
      </c>
      <c r="AD12" s="5">
        <v>4</v>
      </c>
      <c r="AE12" s="5">
        <v>1</v>
      </c>
      <c r="AF12" s="5">
        <v>1</v>
      </c>
      <c r="AG12" s="5">
        <v>1</v>
      </c>
      <c r="AH12" s="7">
        <f t="shared" si="4"/>
        <v>24</v>
      </c>
      <c r="AI12" s="8">
        <f t="shared" si="0"/>
        <v>0</v>
      </c>
      <c r="AJ12" s="9">
        <f t="shared" si="1"/>
        <v>3</v>
      </c>
      <c r="AK12" s="10">
        <f t="shared" si="2"/>
        <v>4</v>
      </c>
      <c r="AL12" s="11">
        <f t="shared" si="3"/>
        <v>0</v>
      </c>
    </row>
    <row r="13" spans="1:38" x14ac:dyDescent="0.35">
      <c r="A13" s="3" t="s">
        <v>24</v>
      </c>
      <c r="B13" s="4" t="s">
        <v>25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4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4</v>
      </c>
      <c r="P13" s="5">
        <v>1</v>
      </c>
      <c r="Q13" s="5">
        <v>1</v>
      </c>
      <c r="R13" s="6">
        <v>1</v>
      </c>
      <c r="S13" s="5">
        <v>1</v>
      </c>
      <c r="T13" s="5">
        <v>1</v>
      </c>
      <c r="U13" s="5">
        <v>1</v>
      </c>
      <c r="V13" s="5">
        <v>1</v>
      </c>
      <c r="W13" s="5">
        <v>4</v>
      </c>
      <c r="X13" s="5">
        <v>1</v>
      </c>
      <c r="Y13" s="5">
        <v>1</v>
      </c>
      <c r="Z13" s="5">
        <v>1</v>
      </c>
      <c r="AA13" s="5">
        <v>1</v>
      </c>
      <c r="AB13" s="6">
        <v>1</v>
      </c>
      <c r="AC13" s="5">
        <v>1</v>
      </c>
      <c r="AD13" s="5">
        <v>4</v>
      </c>
      <c r="AE13" s="5">
        <v>1</v>
      </c>
      <c r="AF13" s="5">
        <v>1</v>
      </c>
      <c r="AG13" s="5">
        <v>1</v>
      </c>
      <c r="AH13" s="7">
        <f t="shared" si="4"/>
        <v>27</v>
      </c>
      <c r="AI13" s="8">
        <f t="shared" si="0"/>
        <v>0</v>
      </c>
      <c r="AJ13" s="9">
        <f t="shared" si="1"/>
        <v>0</v>
      </c>
      <c r="AK13" s="10">
        <f t="shared" si="2"/>
        <v>4</v>
      </c>
      <c r="AL13" s="11">
        <f t="shared" si="3"/>
        <v>0</v>
      </c>
    </row>
    <row r="14" spans="1:38" x14ac:dyDescent="0.35">
      <c r="A14" s="3" t="s">
        <v>26</v>
      </c>
      <c r="B14" s="4" t="s">
        <v>27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4</v>
      </c>
      <c r="J14" s="5">
        <v>1</v>
      </c>
      <c r="K14" s="5">
        <v>1</v>
      </c>
      <c r="L14" s="5">
        <v>1</v>
      </c>
      <c r="M14" s="5">
        <v>5</v>
      </c>
      <c r="N14" s="5">
        <v>1</v>
      </c>
      <c r="O14" s="5">
        <v>1</v>
      </c>
      <c r="P14" s="6">
        <v>4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3</v>
      </c>
      <c r="W14" s="5">
        <v>1</v>
      </c>
      <c r="X14" s="5">
        <v>4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4</v>
      </c>
      <c r="AE14" s="5">
        <v>3</v>
      </c>
      <c r="AF14" s="5">
        <v>1</v>
      </c>
      <c r="AG14" s="5">
        <v>1</v>
      </c>
      <c r="AH14" s="7">
        <f t="shared" si="4"/>
        <v>24</v>
      </c>
      <c r="AI14" s="8">
        <f t="shared" si="0"/>
        <v>0</v>
      </c>
      <c r="AJ14" s="9">
        <f t="shared" si="1"/>
        <v>2</v>
      </c>
      <c r="AK14" s="10">
        <f t="shared" si="2"/>
        <v>4</v>
      </c>
      <c r="AL14" s="11">
        <f t="shared" si="3"/>
        <v>1</v>
      </c>
    </row>
    <row r="15" spans="1:38" x14ac:dyDescent="0.35">
      <c r="A15" s="3" t="s">
        <v>199</v>
      </c>
      <c r="B15" s="4" t="s">
        <v>216</v>
      </c>
      <c r="C15" s="5"/>
      <c r="D15" s="5"/>
      <c r="E15" s="5"/>
      <c r="F15" s="5">
        <v>1</v>
      </c>
      <c r="G15" s="5">
        <v>1</v>
      </c>
      <c r="H15" s="5">
        <v>1</v>
      </c>
      <c r="I15" s="5">
        <v>4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4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4</v>
      </c>
      <c r="X15" s="5">
        <v>1</v>
      </c>
      <c r="Y15" s="5">
        <v>1</v>
      </c>
      <c r="Z15" s="5">
        <v>1</v>
      </c>
      <c r="AA15" s="5">
        <v>1</v>
      </c>
      <c r="AB15" s="6">
        <v>1</v>
      </c>
      <c r="AC15" s="5">
        <v>1</v>
      </c>
      <c r="AD15" s="5">
        <v>4</v>
      </c>
      <c r="AE15" s="5">
        <v>1</v>
      </c>
      <c r="AF15" s="5">
        <v>1</v>
      </c>
      <c r="AG15" s="5">
        <v>1</v>
      </c>
      <c r="AH15" s="7">
        <f t="shared" si="4"/>
        <v>24</v>
      </c>
      <c r="AI15" s="8">
        <f t="shared" si="0"/>
        <v>0</v>
      </c>
      <c r="AJ15" s="9">
        <f t="shared" si="1"/>
        <v>0</v>
      </c>
      <c r="AK15" s="10">
        <f t="shared" si="2"/>
        <v>4</v>
      </c>
      <c r="AL15" s="11">
        <f t="shared" si="3"/>
        <v>0</v>
      </c>
    </row>
    <row r="16" spans="1:38" x14ac:dyDescent="0.35">
      <c r="A16" s="3" t="s">
        <v>65</v>
      </c>
      <c r="B16" s="4" t="s">
        <v>186</v>
      </c>
      <c r="C16" s="5">
        <v>1</v>
      </c>
      <c r="D16" s="5">
        <v>3</v>
      </c>
      <c r="E16" s="5">
        <v>1</v>
      </c>
      <c r="F16" s="5">
        <v>3</v>
      </c>
      <c r="G16" s="5">
        <v>3</v>
      </c>
      <c r="H16" s="5">
        <v>3</v>
      </c>
      <c r="I16" s="5">
        <v>4</v>
      </c>
      <c r="J16" s="5">
        <v>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11</v>
      </c>
      <c r="Z16" s="5"/>
      <c r="AA16" s="5"/>
      <c r="AB16" s="5"/>
      <c r="AC16" s="5"/>
      <c r="AD16" s="5"/>
      <c r="AE16" s="5"/>
      <c r="AF16" s="5"/>
      <c r="AG16" s="5"/>
      <c r="AH16" s="7">
        <f t="shared" si="4"/>
        <v>3</v>
      </c>
      <c r="AI16" s="8">
        <f t="shared" si="0"/>
        <v>0</v>
      </c>
      <c r="AJ16" s="9">
        <f t="shared" si="1"/>
        <v>4</v>
      </c>
      <c r="AK16" s="10">
        <f t="shared" si="2"/>
        <v>1</v>
      </c>
      <c r="AL16" s="11">
        <f t="shared" si="3"/>
        <v>0</v>
      </c>
    </row>
    <row r="17" spans="1:38" x14ac:dyDescent="0.35">
      <c r="A17" s="3" t="s">
        <v>220</v>
      </c>
      <c r="B17" s="4" t="s">
        <v>140</v>
      </c>
      <c r="C17" s="5">
        <v>1</v>
      </c>
      <c r="D17" s="5">
        <v>2</v>
      </c>
      <c r="E17" s="5">
        <v>1</v>
      </c>
      <c r="F17" s="5">
        <v>1</v>
      </c>
      <c r="G17" s="5">
        <v>1</v>
      </c>
      <c r="H17" s="5">
        <v>1</v>
      </c>
      <c r="I17" s="5">
        <v>4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4</v>
      </c>
      <c r="Q17" s="5">
        <v>1</v>
      </c>
      <c r="R17" s="5">
        <v>1</v>
      </c>
      <c r="S17" s="5">
        <v>2</v>
      </c>
      <c r="T17" s="5">
        <v>1</v>
      </c>
      <c r="U17" s="5">
        <v>1</v>
      </c>
      <c r="V17" s="5">
        <v>1</v>
      </c>
      <c r="W17" s="5">
        <v>1</v>
      </c>
      <c r="X17" s="5">
        <v>4</v>
      </c>
      <c r="Y17" s="5">
        <v>1</v>
      </c>
      <c r="Z17" s="6">
        <v>1</v>
      </c>
      <c r="AA17" s="5">
        <v>1</v>
      </c>
      <c r="AB17" s="5">
        <v>1</v>
      </c>
      <c r="AC17" s="5">
        <v>1</v>
      </c>
      <c r="AD17" s="5">
        <v>4</v>
      </c>
      <c r="AE17" s="5">
        <v>1</v>
      </c>
      <c r="AF17" s="5">
        <v>1</v>
      </c>
      <c r="AG17" s="5">
        <v>2</v>
      </c>
      <c r="AH17" s="7">
        <f t="shared" si="4"/>
        <v>24</v>
      </c>
      <c r="AI17" s="8">
        <f t="shared" si="0"/>
        <v>3</v>
      </c>
      <c r="AJ17" s="9">
        <f t="shared" si="1"/>
        <v>0</v>
      </c>
      <c r="AK17" s="10">
        <f t="shared" si="2"/>
        <v>4</v>
      </c>
      <c r="AL17" s="11">
        <f t="shared" si="3"/>
        <v>0</v>
      </c>
    </row>
    <row r="18" spans="1:38" x14ac:dyDescent="0.35">
      <c r="A18" s="3" t="s">
        <v>32</v>
      </c>
      <c r="B18" s="4" t="s">
        <v>33</v>
      </c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I18" s="5">
        <v>4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4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6">
        <v>4</v>
      </c>
      <c r="Z18" s="5">
        <v>1</v>
      </c>
      <c r="AA18" s="5">
        <v>1</v>
      </c>
      <c r="AB18" s="5">
        <v>1</v>
      </c>
      <c r="AC18" s="5">
        <v>1</v>
      </c>
      <c r="AD18" s="5">
        <v>4</v>
      </c>
      <c r="AE18" s="5">
        <v>1</v>
      </c>
      <c r="AF18" s="5">
        <v>1</v>
      </c>
      <c r="AG18" s="5">
        <v>1</v>
      </c>
      <c r="AH18" s="7">
        <f t="shared" si="4"/>
        <v>27</v>
      </c>
      <c r="AI18" s="8">
        <f t="shared" si="0"/>
        <v>0</v>
      </c>
      <c r="AJ18" s="9">
        <f t="shared" si="1"/>
        <v>0</v>
      </c>
      <c r="AK18" s="10">
        <f t="shared" si="2"/>
        <v>4</v>
      </c>
      <c r="AL18" s="11">
        <f t="shared" si="3"/>
        <v>0</v>
      </c>
    </row>
    <row r="19" spans="1:38" x14ac:dyDescent="0.35">
      <c r="A19" s="3" t="s">
        <v>197</v>
      </c>
      <c r="B19" s="4" t="s">
        <v>218</v>
      </c>
      <c r="C19" s="5">
        <v>3</v>
      </c>
      <c r="D19" s="5">
        <v>3</v>
      </c>
      <c r="E19" s="5">
        <v>3</v>
      </c>
      <c r="F19" s="5">
        <v>3</v>
      </c>
      <c r="G19" s="5">
        <v>3</v>
      </c>
      <c r="H19" s="5">
        <v>1</v>
      </c>
      <c r="I19" s="5">
        <v>1</v>
      </c>
      <c r="J19" s="5">
        <v>1</v>
      </c>
      <c r="K19" s="5">
        <v>4</v>
      </c>
      <c r="L19" s="5">
        <v>1</v>
      </c>
      <c r="M19" s="5">
        <v>1</v>
      </c>
      <c r="N19" s="5">
        <v>4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s="5">
        <v>1</v>
      </c>
      <c r="U19" s="5">
        <v>4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>
        <v>1</v>
      </c>
      <c r="AB19" s="5">
        <v>1</v>
      </c>
      <c r="AC19" s="5">
        <v>1</v>
      </c>
      <c r="AD19" s="6">
        <v>4</v>
      </c>
      <c r="AE19" s="6">
        <v>1</v>
      </c>
      <c r="AF19" s="5">
        <v>4</v>
      </c>
      <c r="AG19" s="5">
        <v>1</v>
      </c>
      <c r="AH19" s="7">
        <f t="shared" si="4"/>
        <v>21</v>
      </c>
      <c r="AI19" s="8">
        <f t="shared" si="0"/>
        <v>0</v>
      </c>
      <c r="AJ19" s="9">
        <f t="shared" si="1"/>
        <v>5</v>
      </c>
      <c r="AK19" s="10">
        <f t="shared" si="2"/>
        <v>5</v>
      </c>
      <c r="AL19" s="11">
        <f t="shared" si="3"/>
        <v>0</v>
      </c>
    </row>
    <row r="20" spans="1:38" x14ac:dyDescent="0.35">
      <c r="A20" s="3" t="s">
        <v>37</v>
      </c>
      <c r="B20" s="4" t="s">
        <v>38</v>
      </c>
      <c r="C20" s="5">
        <v>1</v>
      </c>
      <c r="D20" s="5">
        <v>4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4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4</v>
      </c>
      <c r="R20" s="5">
        <v>1</v>
      </c>
      <c r="S20" s="5">
        <v>5</v>
      </c>
      <c r="T20" s="5">
        <v>1</v>
      </c>
      <c r="U20" s="5">
        <v>1</v>
      </c>
      <c r="V20" s="6">
        <v>1</v>
      </c>
      <c r="W20" s="5">
        <v>4</v>
      </c>
      <c r="X20" s="5">
        <v>1</v>
      </c>
      <c r="Y20" s="6">
        <v>1</v>
      </c>
      <c r="Z20" s="5">
        <v>1</v>
      </c>
      <c r="AA20" s="5">
        <v>1</v>
      </c>
      <c r="AB20" s="5">
        <v>1</v>
      </c>
      <c r="AC20" s="5">
        <v>1</v>
      </c>
      <c r="AD20" s="5">
        <v>4</v>
      </c>
      <c r="AE20" s="5">
        <v>1</v>
      </c>
      <c r="AF20" s="5">
        <v>1</v>
      </c>
      <c r="AG20" s="5">
        <v>1</v>
      </c>
      <c r="AH20" s="7">
        <f t="shared" si="4"/>
        <v>25</v>
      </c>
      <c r="AI20" s="8">
        <f t="shared" si="0"/>
        <v>0</v>
      </c>
      <c r="AJ20" s="9">
        <f t="shared" si="1"/>
        <v>0</v>
      </c>
      <c r="AK20" s="10">
        <f t="shared" si="2"/>
        <v>5</v>
      </c>
      <c r="AL20" s="11">
        <f t="shared" si="3"/>
        <v>1</v>
      </c>
    </row>
    <row r="21" spans="1:38" x14ac:dyDescent="0.35">
      <c r="A21" s="3" t="s">
        <v>159</v>
      </c>
      <c r="B21" s="4" t="s">
        <v>40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4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4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4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4</v>
      </c>
      <c r="AF21" s="5">
        <v>1</v>
      </c>
      <c r="AG21" s="6">
        <v>1</v>
      </c>
      <c r="AH21" s="7">
        <f t="shared" si="4"/>
        <v>27</v>
      </c>
      <c r="AI21" s="8">
        <f t="shared" si="0"/>
        <v>0</v>
      </c>
      <c r="AJ21" s="9">
        <f t="shared" si="1"/>
        <v>0</v>
      </c>
      <c r="AK21" s="10">
        <f t="shared" si="2"/>
        <v>4</v>
      </c>
      <c r="AL21" s="11">
        <f t="shared" si="3"/>
        <v>0</v>
      </c>
    </row>
    <row r="22" spans="1:38" ht="11.5" customHeight="1" x14ac:dyDescent="0.35">
      <c r="A22" s="3" t="s">
        <v>205</v>
      </c>
      <c r="B22" s="4" t="s">
        <v>204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4</v>
      </c>
      <c r="J22" s="5">
        <v>1</v>
      </c>
      <c r="K22" s="5">
        <v>1</v>
      </c>
      <c r="L22" s="5">
        <v>1</v>
      </c>
      <c r="M22" s="5">
        <v>1</v>
      </c>
      <c r="N22" s="5">
        <v>1</v>
      </c>
      <c r="O22" s="5">
        <v>1</v>
      </c>
      <c r="P22" s="5">
        <v>4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4</v>
      </c>
      <c r="X22" s="5">
        <v>1</v>
      </c>
      <c r="Y22" s="5">
        <v>1</v>
      </c>
      <c r="Z22" s="5">
        <v>1</v>
      </c>
      <c r="AA22" s="5">
        <v>1</v>
      </c>
      <c r="AB22" s="5">
        <v>1</v>
      </c>
      <c r="AC22" s="5">
        <v>1</v>
      </c>
      <c r="AD22" s="5">
        <v>4</v>
      </c>
      <c r="AE22" s="5">
        <v>1</v>
      </c>
      <c r="AF22" s="5">
        <v>1</v>
      </c>
      <c r="AG22" s="5">
        <v>1</v>
      </c>
      <c r="AH22" s="7">
        <f>COUNTIF(C22:AG22,"1")</f>
        <v>27</v>
      </c>
      <c r="AI22" s="8">
        <f>COUNTIF(C22:AG22,"2")</f>
        <v>0</v>
      </c>
      <c r="AJ22" s="9">
        <f>COUNTIF(C22:AG22,"3")</f>
        <v>0</v>
      </c>
      <c r="AK22" s="10">
        <f>COUNTIF(C22:AG22,"4")</f>
        <v>4</v>
      </c>
      <c r="AL22" s="11">
        <f>COUNTIF(C22:AG22,"5")</f>
        <v>0</v>
      </c>
    </row>
    <row r="23" spans="1:38" x14ac:dyDescent="0.35">
      <c r="A23" s="3" t="s">
        <v>184</v>
      </c>
      <c r="B23" s="4" t="s">
        <v>31</v>
      </c>
      <c r="C23" s="5">
        <v>1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4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4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4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5">
        <v>1</v>
      </c>
      <c r="AD23" s="5">
        <v>4</v>
      </c>
      <c r="AE23" s="5">
        <v>1</v>
      </c>
      <c r="AF23" s="5">
        <v>1</v>
      </c>
      <c r="AG23" s="5">
        <v>1</v>
      </c>
      <c r="AH23" s="7">
        <f t="shared" si="4"/>
        <v>27</v>
      </c>
      <c r="AI23" s="8">
        <f t="shared" si="0"/>
        <v>0</v>
      </c>
      <c r="AJ23" s="9">
        <f t="shared" si="1"/>
        <v>0</v>
      </c>
      <c r="AK23" s="10">
        <f>COUNTIF(C23:AG23,"4")</f>
        <v>4</v>
      </c>
      <c r="AL23" s="11">
        <f t="shared" si="3"/>
        <v>0</v>
      </c>
    </row>
    <row r="24" spans="1:38" x14ac:dyDescent="0.35">
      <c r="A24" s="3" t="s">
        <v>39</v>
      </c>
      <c r="B24" s="4" t="s">
        <v>201</v>
      </c>
      <c r="C24" s="5">
        <v>1</v>
      </c>
      <c r="D24" s="5">
        <v>1</v>
      </c>
      <c r="E24" s="5">
        <v>1</v>
      </c>
      <c r="F24" s="5">
        <v>1</v>
      </c>
      <c r="G24" s="5">
        <v>4</v>
      </c>
      <c r="H24" s="5">
        <v>1</v>
      </c>
      <c r="I24" s="5">
        <v>5</v>
      </c>
      <c r="J24" s="5">
        <v>5</v>
      </c>
      <c r="K24" s="5">
        <v>5</v>
      </c>
      <c r="L24" s="5">
        <v>5</v>
      </c>
      <c r="M24" s="5">
        <v>5</v>
      </c>
      <c r="N24" s="5">
        <v>4</v>
      </c>
      <c r="O24" s="5">
        <v>5</v>
      </c>
      <c r="P24" s="5">
        <v>5</v>
      </c>
      <c r="Q24" s="5">
        <v>5</v>
      </c>
      <c r="R24" s="5">
        <v>5</v>
      </c>
      <c r="S24" s="5">
        <v>5</v>
      </c>
      <c r="T24" s="5">
        <v>5</v>
      </c>
      <c r="U24" s="5">
        <v>4</v>
      </c>
      <c r="V24" s="5">
        <v>1</v>
      </c>
      <c r="W24" s="5">
        <v>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7">
        <f t="shared" si="4"/>
        <v>7</v>
      </c>
      <c r="AI24" s="8">
        <f t="shared" si="0"/>
        <v>0</v>
      </c>
      <c r="AJ24" s="9">
        <f t="shared" si="1"/>
        <v>0</v>
      </c>
      <c r="AK24" s="10">
        <f t="shared" ref="AK24:AK25" si="5">COUNTIF(C24:AG24,"4")</f>
        <v>3</v>
      </c>
      <c r="AL24" s="11">
        <f t="shared" si="3"/>
        <v>11</v>
      </c>
    </row>
    <row r="25" spans="1:38" x14ac:dyDescent="0.35">
      <c r="A25" s="4" t="s">
        <v>145</v>
      </c>
      <c r="B25" s="4" t="s">
        <v>43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1</v>
      </c>
      <c r="Y25" s="5">
        <v>1</v>
      </c>
      <c r="Z25" s="5">
        <v>1</v>
      </c>
      <c r="AA25" s="5">
        <v>1</v>
      </c>
      <c r="AB25" s="5">
        <v>4</v>
      </c>
      <c r="AC25" s="5">
        <v>1</v>
      </c>
      <c r="AD25" s="5">
        <v>1</v>
      </c>
      <c r="AE25" s="5">
        <v>1</v>
      </c>
      <c r="AF25" s="5">
        <v>1</v>
      </c>
      <c r="AG25" s="5">
        <v>1</v>
      </c>
      <c r="AH25" s="7">
        <f t="shared" si="4"/>
        <v>9</v>
      </c>
      <c r="AI25" s="8">
        <f t="shared" si="0"/>
        <v>0</v>
      </c>
      <c r="AJ25" s="9">
        <f t="shared" si="1"/>
        <v>0</v>
      </c>
      <c r="AK25" s="10">
        <f t="shared" si="5"/>
        <v>1</v>
      </c>
      <c r="AL25" s="11">
        <f t="shared" si="3"/>
        <v>0</v>
      </c>
    </row>
    <row r="26" spans="1:38" x14ac:dyDescent="0.35">
      <c r="A26" s="4" t="s">
        <v>202</v>
      </c>
      <c r="B26" s="4" t="s">
        <v>203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5">
        <v>4</v>
      </c>
      <c r="AC26" s="5">
        <v>1</v>
      </c>
      <c r="AD26" s="5">
        <v>1</v>
      </c>
      <c r="AE26" s="5">
        <v>1</v>
      </c>
      <c r="AF26" s="5">
        <v>1</v>
      </c>
      <c r="AG26" s="5">
        <v>1</v>
      </c>
      <c r="AH26" s="7">
        <f t="shared" si="4"/>
        <v>14</v>
      </c>
      <c r="AI26" s="8">
        <f t="shared" si="0"/>
        <v>0</v>
      </c>
      <c r="AJ26" s="9">
        <f t="shared" si="1"/>
        <v>0</v>
      </c>
      <c r="AK26" s="10">
        <f>COUNTIF(C26:AG26,"4")</f>
        <v>1</v>
      </c>
      <c r="AL26" s="11">
        <f>COUNTIF(C23:AG23,"5")</f>
        <v>0</v>
      </c>
    </row>
    <row r="27" spans="1:38" x14ac:dyDescent="0.35">
      <c r="A27" s="4" t="s">
        <v>195</v>
      </c>
      <c r="B27" s="4" t="s">
        <v>41</v>
      </c>
      <c r="C27" s="5">
        <v>1</v>
      </c>
      <c r="D27" s="5">
        <v>1</v>
      </c>
      <c r="E27" s="5">
        <v>1</v>
      </c>
      <c r="F27" s="5">
        <v>1</v>
      </c>
      <c r="G27" s="5">
        <v>4</v>
      </c>
      <c r="H27" s="5">
        <v>1</v>
      </c>
      <c r="I27" s="5">
        <v>3</v>
      </c>
      <c r="J27" s="5">
        <v>3</v>
      </c>
      <c r="K27" s="5">
        <v>1</v>
      </c>
      <c r="L27" s="5">
        <v>1</v>
      </c>
      <c r="M27" s="5">
        <v>1</v>
      </c>
      <c r="N27" s="5">
        <v>4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s="5">
        <v>1</v>
      </c>
      <c r="U27" s="5">
        <v>4</v>
      </c>
      <c r="V27" s="5">
        <v>1</v>
      </c>
      <c r="W27" s="6">
        <v>1</v>
      </c>
      <c r="X27" s="5">
        <v>1</v>
      </c>
      <c r="Y27" s="5">
        <v>1</v>
      </c>
      <c r="Z27" s="5">
        <v>1</v>
      </c>
      <c r="AA27" s="5">
        <v>1</v>
      </c>
      <c r="AB27" s="5">
        <v>4</v>
      </c>
      <c r="AC27" s="5">
        <v>1</v>
      </c>
      <c r="AD27" s="5">
        <v>1</v>
      </c>
      <c r="AE27" s="5">
        <v>1</v>
      </c>
      <c r="AF27" s="5">
        <v>1</v>
      </c>
      <c r="AG27" s="6">
        <v>1</v>
      </c>
      <c r="AH27" s="7">
        <f t="shared" si="4"/>
        <v>25</v>
      </c>
      <c r="AI27" s="8">
        <f t="shared" si="0"/>
        <v>0</v>
      </c>
      <c r="AJ27" s="9">
        <f>COUNTIF(C23:AG23,"3")</f>
        <v>0</v>
      </c>
      <c r="AK27" s="10">
        <f>COUNTIF(C27:AG27,"4")</f>
        <v>4</v>
      </c>
      <c r="AL27" s="11">
        <f>COUNTIF(C27:AG27,"5")</f>
        <v>0</v>
      </c>
    </row>
    <row r="28" spans="1:38" x14ac:dyDescent="0.35">
      <c r="A28" s="4" t="s">
        <v>181</v>
      </c>
      <c r="B28" s="4" t="s">
        <v>219</v>
      </c>
      <c r="C28" s="5">
        <v>1</v>
      </c>
      <c r="D28" s="5">
        <v>3</v>
      </c>
      <c r="E28" s="5">
        <v>3</v>
      </c>
      <c r="F28" s="5">
        <v>1</v>
      </c>
      <c r="G28" s="5">
        <v>4</v>
      </c>
      <c r="H28" s="5">
        <v>1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4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4</v>
      </c>
      <c r="V28" s="5">
        <v>1</v>
      </c>
      <c r="W28" s="5">
        <v>1</v>
      </c>
      <c r="X28" s="5">
        <v>1</v>
      </c>
      <c r="Y28" s="5">
        <v>1</v>
      </c>
      <c r="Z28" s="5">
        <v>1</v>
      </c>
      <c r="AA28" s="5">
        <v>1</v>
      </c>
      <c r="AB28" s="5">
        <v>4</v>
      </c>
      <c r="AC28" s="5">
        <v>1</v>
      </c>
      <c r="AD28" s="5">
        <v>1</v>
      </c>
      <c r="AE28" s="6">
        <v>1</v>
      </c>
      <c r="AF28" s="5">
        <v>1</v>
      </c>
      <c r="AG28" s="5">
        <v>1</v>
      </c>
      <c r="AH28" s="7">
        <f>COUNTIF(C28:AG28,"1")</f>
        <v>25</v>
      </c>
      <c r="AI28" s="8">
        <f>COUNTIF(C28:AG28,"2")</f>
        <v>0</v>
      </c>
      <c r="AJ28" s="9">
        <f>COUNTIF(C28:AG28,"3")</f>
        <v>2</v>
      </c>
      <c r="AK28" s="10">
        <f>COUNTIF(C28:AG28,"4")</f>
        <v>4</v>
      </c>
      <c r="AL28" s="11">
        <f>COUNTIF(C28:AG28,"5")</f>
        <v>0</v>
      </c>
    </row>
    <row r="29" spans="1:38" x14ac:dyDescent="0.35">
      <c r="A29" s="4"/>
      <c r="B29" s="4" t="s">
        <v>99</v>
      </c>
      <c r="C29" s="5">
        <v>1</v>
      </c>
      <c r="D29" s="5">
        <v>1</v>
      </c>
      <c r="E29" s="5">
        <v>1</v>
      </c>
      <c r="F29" s="5">
        <v>1</v>
      </c>
      <c r="G29" s="5">
        <v>4</v>
      </c>
      <c r="H29" s="5">
        <v>3</v>
      </c>
      <c r="I29" s="5">
        <v>1</v>
      </c>
      <c r="J29" s="5">
        <v>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7">
        <f t="shared" si="4"/>
        <v>6</v>
      </c>
      <c r="AI29" s="8">
        <f t="shared" si="0"/>
        <v>0</v>
      </c>
      <c r="AJ29" s="9">
        <f t="shared" si="1"/>
        <v>1</v>
      </c>
      <c r="AK29" s="10">
        <f t="shared" si="2"/>
        <v>1</v>
      </c>
      <c r="AL29" s="11">
        <f t="shared" si="3"/>
        <v>0</v>
      </c>
    </row>
    <row r="30" spans="1:38" x14ac:dyDescent="0.35">
      <c r="A30" s="4" t="s">
        <v>145</v>
      </c>
      <c r="B30" s="4" t="s">
        <v>146</v>
      </c>
      <c r="C30" s="5">
        <v>1</v>
      </c>
      <c r="D30" s="5">
        <v>1</v>
      </c>
      <c r="E30" s="5">
        <v>1</v>
      </c>
      <c r="F30" s="5">
        <v>1</v>
      </c>
      <c r="G30" s="5">
        <v>4</v>
      </c>
      <c r="H30" s="5">
        <v>1</v>
      </c>
      <c r="I30" s="5">
        <v>1</v>
      </c>
      <c r="J30" s="5">
        <v>1</v>
      </c>
      <c r="K30" s="5">
        <v>1</v>
      </c>
      <c r="L30" s="5">
        <v>1</v>
      </c>
      <c r="M30" s="5">
        <v>5</v>
      </c>
      <c r="N30" s="5">
        <v>4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5">
        <v>4</v>
      </c>
      <c r="V30" s="5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4</v>
      </c>
      <c r="AC30" s="5">
        <v>1</v>
      </c>
      <c r="AD30" s="5">
        <v>1</v>
      </c>
      <c r="AE30" s="5">
        <v>1</v>
      </c>
      <c r="AF30" s="5">
        <v>1</v>
      </c>
      <c r="AG30" s="5">
        <v>1</v>
      </c>
      <c r="AH30" s="7">
        <f t="shared" si="4"/>
        <v>26</v>
      </c>
      <c r="AI30" s="8">
        <f t="shared" si="0"/>
        <v>0</v>
      </c>
      <c r="AJ30" s="9">
        <f t="shared" si="1"/>
        <v>0</v>
      </c>
      <c r="AK30" s="10">
        <f t="shared" si="2"/>
        <v>4</v>
      </c>
      <c r="AL30" s="11">
        <f t="shared" si="3"/>
        <v>1</v>
      </c>
    </row>
  </sheetData>
  <mergeCells count="7">
    <mergeCell ref="AL1:AL2"/>
    <mergeCell ref="A1:A2"/>
    <mergeCell ref="B1:B2"/>
    <mergeCell ref="AH1:AH2"/>
    <mergeCell ref="AI1:AI2"/>
    <mergeCell ref="AJ1:AJ2"/>
    <mergeCell ref="AK1:AK2"/>
  </mergeCells>
  <conditionalFormatting sqref="C3:AC4 AD3:AF5 AG3:AG6 S5:AC5 C5:Q6 R5:R9 S6:AF6 P7:Q9 S7:AG9 C7:O23 P10:AG19 P20:Y23 Z20:AA24 AB20:AG30 C24:Y24 C25:AA30">
    <cfRule type="cellIs" dxfId="14" priority="1" operator="equal">
      <formula>1</formula>
    </cfRule>
    <cfRule type="cellIs" dxfId="13" priority="2" operator="equal">
      <formula>2</formula>
    </cfRule>
    <cfRule type="cellIs" dxfId="12" priority="3" operator="equal">
      <formula>3</formula>
    </cfRule>
    <cfRule type="cellIs" dxfId="11" priority="4" operator="equal">
      <formula>4</formula>
    </cfRule>
    <cfRule type="cellIs" dxfId="10" priority="5" operator="equal">
      <formula>5</formula>
    </cfRule>
  </conditionalFormatting>
  <pageMargins left="0.7" right="0.7" top="0.75" bottom="0.75" header="0.3" footer="0.3"/>
  <ignoredErrors>
    <ignoredError sqref="AL26 AJ27 AJ9 AK11" formula="1"/>
  </ignoredError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E1CF-A83C-422C-BEC3-226A28A49684}">
  <dimension ref="A1:AL54"/>
  <sheetViews>
    <sheetView topLeftCell="A24" zoomScale="59" zoomScaleNormal="59" workbookViewId="0">
      <selection activeCell="D24" sqref="D24"/>
    </sheetView>
  </sheetViews>
  <sheetFormatPr baseColWidth="10" defaultRowHeight="14.5" x14ac:dyDescent="0.35"/>
  <cols>
    <col min="1" max="1" width="42.26953125" customWidth="1"/>
    <col min="2" max="2" width="55" customWidth="1"/>
    <col min="33" max="33" width="12" customWidth="1"/>
    <col min="34" max="34" width="10" customWidth="1"/>
  </cols>
  <sheetData>
    <row r="1" spans="1:38" x14ac:dyDescent="0.35">
      <c r="A1" s="23" t="s">
        <v>207</v>
      </c>
      <c r="B1" s="23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 t="s">
        <v>4</v>
      </c>
      <c r="L1" s="1">
        <v>10</v>
      </c>
      <c r="M1" s="1">
        <v>111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 t="s">
        <v>9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21" t="s">
        <v>2</v>
      </c>
      <c r="AI1" s="21" t="s">
        <v>78</v>
      </c>
      <c r="AJ1" s="21" t="s">
        <v>79</v>
      </c>
      <c r="AK1" s="21" t="s">
        <v>153</v>
      </c>
      <c r="AL1" s="21" t="s">
        <v>154</v>
      </c>
    </row>
    <row r="2" spans="1:38" x14ac:dyDescent="0.35">
      <c r="A2" s="24"/>
      <c r="B2" s="24"/>
      <c r="C2" s="2" t="s">
        <v>8</v>
      </c>
      <c r="D2" s="2" t="s">
        <v>9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3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>
        <v>1</v>
      </c>
      <c r="Z2" s="2" t="s">
        <v>3</v>
      </c>
      <c r="AA2" s="2" t="s">
        <v>4</v>
      </c>
      <c r="AB2" s="2" t="s">
        <v>5</v>
      </c>
      <c r="AC2" s="2" t="s">
        <v>6</v>
      </c>
      <c r="AD2" s="2" t="s">
        <v>7</v>
      </c>
      <c r="AE2" s="2" t="s">
        <v>8</v>
      </c>
      <c r="AF2" s="2" t="s">
        <v>9</v>
      </c>
      <c r="AG2" s="2" t="s">
        <v>3</v>
      </c>
      <c r="AH2" s="22"/>
      <c r="AI2" s="22"/>
      <c r="AJ2" s="22"/>
      <c r="AK2" s="22"/>
      <c r="AL2" s="22"/>
    </row>
    <row r="3" spans="1:38" x14ac:dyDescent="0.35">
      <c r="A3" s="3" t="s">
        <v>158</v>
      </c>
      <c r="B3" s="4" t="s">
        <v>11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4</v>
      </c>
      <c r="I3" s="5">
        <v>1</v>
      </c>
      <c r="J3" s="5">
        <v>1</v>
      </c>
      <c r="K3" s="5">
        <v>1</v>
      </c>
      <c r="L3" s="5">
        <v>1</v>
      </c>
      <c r="M3" s="5">
        <v>4</v>
      </c>
      <c r="N3" s="5">
        <v>1</v>
      </c>
      <c r="O3" s="5">
        <v>1</v>
      </c>
      <c r="P3" s="5">
        <v>1</v>
      </c>
      <c r="Q3" s="5">
        <v>4</v>
      </c>
      <c r="R3" s="5">
        <v>1</v>
      </c>
      <c r="S3" s="5">
        <v>1</v>
      </c>
      <c r="T3" s="5">
        <v>1</v>
      </c>
      <c r="U3" s="5">
        <v>1</v>
      </c>
      <c r="V3" s="5">
        <v>4</v>
      </c>
      <c r="W3" s="5">
        <v>1</v>
      </c>
      <c r="X3" s="5">
        <v>1</v>
      </c>
      <c r="Y3" s="5">
        <v>1</v>
      </c>
      <c r="Z3" s="6">
        <v>1</v>
      </c>
      <c r="AA3" s="5">
        <v>1</v>
      </c>
      <c r="AB3" s="5">
        <v>1</v>
      </c>
      <c r="AC3" s="5">
        <v>4</v>
      </c>
      <c r="AD3" s="5">
        <v>1</v>
      </c>
      <c r="AE3" s="5">
        <v>1</v>
      </c>
      <c r="AF3" s="5">
        <v>1</v>
      </c>
      <c r="AG3" s="5">
        <v>1</v>
      </c>
      <c r="AH3" s="7">
        <f>COUNTIF(C3:AG3,"1")</f>
        <v>26</v>
      </c>
      <c r="AI3" s="8">
        <f>COUNTIF(C3:AG3,"2")</f>
        <v>0</v>
      </c>
      <c r="AJ3" s="9">
        <f>COUNTIF(C3:AG3,"3")</f>
        <v>0</v>
      </c>
      <c r="AK3" s="10">
        <f t="shared" ref="AK3:AK29" si="0">COUNTIF(C3:AG3,"4")</f>
        <v>5</v>
      </c>
      <c r="AL3" s="11">
        <f>COUNTIF(C3:AG3,"5")</f>
        <v>0</v>
      </c>
    </row>
    <row r="4" spans="1:38" x14ac:dyDescent="0.35">
      <c r="A4" s="3" t="s">
        <v>26</v>
      </c>
      <c r="B4" s="4" t="s">
        <v>27</v>
      </c>
      <c r="C4" s="5">
        <v>1</v>
      </c>
      <c r="D4" s="5">
        <v>1</v>
      </c>
      <c r="E4" s="5">
        <v>1</v>
      </c>
      <c r="F4" s="5">
        <v>4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4</v>
      </c>
      <c r="O4" s="5">
        <v>1</v>
      </c>
      <c r="P4" s="5">
        <v>1</v>
      </c>
      <c r="Q4" s="5">
        <v>4</v>
      </c>
      <c r="R4" s="5">
        <v>1</v>
      </c>
      <c r="S4" s="6">
        <v>1</v>
      </c>
      <c r="T4" s="5">
        <v>1</v>
      </c>
      <c r="U4" s="5">
        <v>1</v>
      </c>
      <c r="V4" s="5">
        <v>1</v>
      </c>
      <c r="W4" s="6">
        <v>4</v>
      </c>
      <c r="X4" s="5">
        <v>1</v>
      </c>
      <c r="Y4" s="5">
        <v>3</v>
      </c>
      <c r="Z4" s="5">
        <v>1</v>
      </c>
      <c r="AA4" s="6">
        <v>4</v>
      </c>
      <c r="AB4" s="5">
        <v>1</v>
      </c>
      <c r="AC4" s="5">
        <v>1</v>
      </c>
      <c r="AD4" s="5">
        <v>1</v>
      </c>
      <c r="AE4" s="5">
        <v>1</v>
      </c>
      <c r="AF4" s="6">
        <v>5</v>
      </c>
      <c r="AG4" s="5">
        <v>1</v>
      </c>
      <c r="AH4" s="7">
        <f t="shared" ref="AH4:AH29" si="1">COUNTIF(C4:AG4,"1")</f>
        <v>24</v>
      </c>
      <c r="AI4" s="8">
        <f t="shared" ref="AI4:AI29" si="2">COUNTIF(C4:AG4,"2")</f>
        <v>0</v>
      </c>
      <c r="AJ4" s="9">
        <f t="shared" ref="AJ4:AJ29" si="3">COUNTIF(C4:AG4,"3")</f>
        <v>1</v>
      </c>
      <c r="AK4" s="10">
        <f t="shared" si="0"/>
        <v>5</v>
      </c>
      <c r="AL4" s="11">
        <f t="shared" ref="AL4:AL29" si="4">COUNTIF(C4:AG4,"5")</f>
        <v>1</v>
      </c>
    </row>
    <row r="5" spans="1:38" x14ac:dyDescent="0.35">
      <c r="A5" s="3" t="s">
        <v>18</v>
      </c>
      <c r="B5" s="4" t="s">
        <v>242</v>
      </c>
      <c r="C5" s="5">
        <v>1</v>
      </c>
      <c r="D5" s="5">
        <v>3</v>
      </c>
      <c r="E5" s="5">
        <v>1</v>
      </c>
      <c r="F5" s="5">
        <v>4</v>
      </c>
      <c r="G5" s="5">
        <v>3</v>
      </c>
      <c r="H5" s="5">
        <v>1</v>
      </c>
      <c r="I5" s="5">
        <v>1</v>
      </c>
      <c r="J5" s="5">
        <v>1</v>
      </c>
      <c r="K5" s="5">
        <v>3</v>
      </c>
      <c r="L5" s="5">
        <v>3</v>
      </c>
      <c r="M5" s="5">
        <v>4</v>
      </c>
      <c r="N5" s="5">
        <v>1</v>
      </c>
      <c r="O5" s="5">
        <v>1</v>
      </c>
      <c r="P5" s="5">
        <v>1</v>
      </c>
      <c r="Q5" s="5">
        <v>4</v>
      </c>
      <c r="R5" s="5">
        <v>1</v>
      </c>
      <c r="S5" s="5">
        <v>4</v>
      </c>
      <c r="T5" s="5">
        <v>1</v>
      </c>
      <c r="U5" s="5">
        <v>1</v>
      </c>
      <c r="V5" s="5">
        <v>1</v>
      </c>
      <c r="W5" s="5">
        <v>1</v>
      </c>
      <c r="X5" s="5">
        <v>3</v>
      </c>
      <c r="Y5" s="5">
        <v>3</v>
      </c>
      <c r="Z5" s="5">
        <v>4</v>
      </c>
      <c r="AA5" s="5">
        <v>1</v>
      </c>
      <c r="AB5" s="6">
        <v>1</v>
      </c>
      <c r="AC5" s="5">
        <v>1</v>
      </c>
      <c r="AD5" s="5">
        <v>1</v>
      </c>
      <c r="AE5" s="5">
        <v>1</v>
      </c>
      <c r="AF5" s="5">
        <v>3</v>
      </c>
      <c r="AG5" s="5">
        <v>1</v>
      </c>
      <c r="AH5" s="7">
        <f t="shared" si="1"/>
        <v>19</v>
      </c>
      <c r="AI5" s="8">
        <f t="shared" si="2"/>
        <v>0</v>
      </c>
      <c r="AJ5" s="9">
        <f t="shared" si="3"/>
        <v>7</v>
      </c>
      <c r="AK5" s="10">
        <f t="shared" si="0"/>
        <v>5</v>
      </c>
      <c r="AL5" s="11">
        <f t="shared" si="4"/>
        <v>0</v>
      </c>
    </row>
    <row r="6" spans="1:38" ht="16.5" customHeight="1" x14ac:dyDescent="0.35">
      <c r="A6" s="3" t="s">
        <v>223</v>
      </c>
      <c r="B6" s="15" t="s">
        <v>226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T6" s="5"/>
      <c r="U6" s="5"/>
      <c r="V6" s="5">
        <v>1</v>
      </c>
      <c r="W6" s="5">
        <v>1</v>
      </c>
      <c r="X6" s="5">
        <v>1</v>
      </c>
      <c r="Y6" s="5">
        <v>2</v>
      </c>
      <c r="Z6" s="5">
        <v>1</v>
      </c>
      <c r="AA6" s="5">
        <v>4</v>
      </c>
      <c r="AB6" s="5">
        <v>1</v>
      </c>
      <c r="AC6" s="5">
        <v>1</v>
      </c>
      <c r="AD6" s="5">
        <v>1</v>
      </c>
      <c r="AE6" s="5">
        <v>1</v>
      </c>
      <c r="AF6" s="5">
        <v>1</v>
      </c>
      <c r="AG6" s="5">
        <v>1</v>
      </c>
      <c r="AH6" s="7">
        <f t="shared" si="1"/>
        <v>10</v>
      </c>
      <c r="AI6" s="8">
        <f t="shared" si="2"/>
        <v>1</v>
      </c>
      <c r="AJ6" s="9">
        <f t="shared" si="3"/>
        <v>0</v>
      </c>
      <c r="AK6" s="10">
        <f t="shared" si="0"/>
        <v>1</v>
      </c>
      <c r="AL6" s="11">
        <f t="shared" si="4"/>
        <v>0</v>
      </c>
    </row>
    <row r="7" spans="1:38" x14ac:dyDescent="0.35">
      <c r="A7" s="3" t="s">
        <v>243</v>
      </c>
      <c r="B7" s="14" t="s">
        <v>40</v>
      </c>
      <c r="C7" s="5">
        <v>1</v>
      </c>
      <c r="D7" s="5">
        <v>1</v>
      </c>
      <c r="E7" s="5">
        <v>1</v>
      </c>
      <c r="F7" s="5">
        <v>1</v>
      </c>
      <c r="G7" s="5">
        <v>4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4</v>
      </c>
      <c r="O7" s="5">
        <v>1</v>
      </c>
      <c r="P7" s="5">
        <v>1</v>
      </c>
      <c r="Q7" s="5">
        <v>4</v>
      </c>
      <c r="R7" s="5">
        <v>1</v>
      </c>
      <c r="S7" s="5">
        <v>1</v>
      </c>
      <c r="T7" s="6">
        <v>1</v>
      </c>
      <c r="U7" s="5">
        <v>4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4</v>
      </c>
      <c r="AC7" s="5">
        <v>1</v>
      </c>
      <c r="AD7" s="5">
        <v>1</v>
      </c>
      <c r="AE7" s="5">
        <v>1</v>
      </c>
      <c r="AF7" s="5">
        <v>1</v>
      </c>
      <c r="AG7" s="5">
        <v>1</v>
      </c>
      <c r="AH7" s="7">
        <f>COUNTIF(C7:AG7,"1")</f>
        <v>26</v>
      </c>
      <c r="AI7" s="8">
        <f>COUNTIF(C7:AG7,"2")</f>
        <v>0</v>
      </c>
      <c r="AJ7" s="9">
        <f>COUNTIF(C7:AG7,"3")</f>
        <v>0</v>
      </c>
      <c r="AK7" s="10">
        <f>COUNTIF(C7:AG7,"4")</f>
        <v>5</v>
      </c>
      <c r="AL7" s="11">
        <f>COUNTIF(C7:AG7,"5")</f>
        <v>0</v>
      </c>
    </row>
    <row r="8" spans="1:38" x14ac:dyDescent="0.35">
      <c r="A8" s="3" t="s">
        <v>35</v>
      </c>
      <c r="B8" s="4" t="s">
        <v>204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4</v>
      </c>
      <c r="I8" s="5">
        <v>1</v>
      </c>
      <c r="J8" s="5">
        <v>1</v>
      </c>
      <c r="K8" s="5">
        <v>1</v>
      </c>
      <c r="L8" s="5">
        <v>1</v>
      </c>
      <c r="M8" s="5">
        <v>4</v>
      </c>
      <c r="N8" s="5">
        <v>1</v>
      </c>
      <c r="O8" s="5">
        <v>1</v>
      </c>
      <c r="P8" s="5">
        <v>1</v>
      </c>
      <c r="Q8" s="6">
        <v>4</v>
      </c>
      <c r="R8" s="5">
        <v>1</v>
      </c>
      <c r="S8" s="5">
        <v>1</v>
      </c>
      <c r="T8" s="5">
        <v>4</v>
      </c>
      <c r="U8" s="5">
        <v>1</v>
      </c>
      <c r="V8" s="6">
        <v>1</v>
      </c>
      <c r="W8" s="5">
        <v>1</v>
      </c>
      <c r="X8" s="5">
        <v>1</v>
      </c>
      <c r="Y8" s="5">
        <v>1</v>
      </c>
      <c r="Z8" s="5">
        <v>1</v>
      </c>
      <c r="AA8" s="5">
        <v>4</v>
      </c>
      <c r="AB8" s="5">
        <v>1</v>
      </c>
      <c r="AC8" s="5">
        <v>1</v>
      </c>
      <c r="AD8" s="5">
        <v>1</v>
      </c>
      <c r="AE8" s="5">
        <v>1</v>
      </c>
      <c r="AF8" s="5">
        <v>1</v>
      </c>
      <c r="AG8" s="6">
        <v>1</v>
      </c>
      <c r="AH8" s="7">
        <f t="shared" si="1"/>
        <v>26</v>
      </c>
      <c r="AI8" s="8">
        <f t="shared" si="2"/>
        <v>0</v>
      </c>
      <c r="AJ8" s="9">
        <f t="shared" si="3"/>
        <v>0</v>
      </c>
      <c r="AK8" s="10">
        <f t="shared" si="0"/>
        <v>5</v>
      </c>
      <c r="AL8" s="11">
        <f t="shared" si="4"/>
        <v>0</v>
      </c>
    </row>
    <row r="9" spans="1:38" x14ac:dyDescent="0.35">
      <c r="A9" s="3" t="s">
        <v>209</v>
      </c>
      <c r="B9" s="4" t="s">
        <v>213</v>
      </c>
      <c r="C9" s="5">
        <v>1</v>
      </c>
      <c r="D9" s="5">
        <v>1</v>
      </c>
      <c r="E9" s="5">
        <v>1</v>
      </c>
      <c r="F9" s="5">
        <v>2</v>
      </c>
      <c r="G9" s="5">
        <v>1</v>
      </c>
      <c r="H9" s="5">
        <v>1</v>
      </c>
      <c r="I9" s="5">
        <v>1</v>
      </c>
      <c r="J9" s="5">
        <v>2</v>
      </c>
      <c r="K9" s="5">
        <v>1</v>
      </c>
      <c r="L9" s="5">
        <v>1</v>
      </c>
      <c r="M9" s="5">
        <v>1</v>
      </c>
      <c r="N9" s="5">
        <v>4</v>
      </c>
      <c r="O9" s="5">
        <v>1</v>
      </c>
      <c r="P9" s="6">
        <v>1</v>
      </c>
      <c r="Q9" s="5">
        <v>4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4</v>
      </c>
      <c r="Z9" s="5">
        <v>1</v>
      </c>
      <c r="AA9" s="5">
        <v>4</v>
      </c>
      <c r="AB9" s="5">
        <v>1</v>
      </c>
      <c r="AC9" s="5">
        <v>1</v>
      </c>
      <c r="AD9" s="5">
        <v>1</v>
      </c>
      <c r="AE9" s="5">
        <v>1</v>
      </c>
      <c r="AF9" s="5">
        <v>1</v>
      </c>
      <c r="AG9" s="5">
        <v>1</v>
      </c>
      <c r="AH9" s="7">
        <f t="shared" si="1"/>
        <v>25</v>
      </c>
      <c r="AI9" s="8">
        <f t="shared" si="2"/>
        <v>2</v>
      </c>
      <c r="AJ9" s="9">
        <f t="shared" si="3"/>
        <v>0</v>
      </c>
      <c r="AK9" s="10">
        <f t="shared" si="0"/>
        <v>4</v>
      </c>
      <c r="AL9" s="11">
        <f t="shared" si="4"/>
        <v>0</v>
      </c>
    </row>
    <row r="10" spans="1:38" x14ac:dyDescent="0.35">
      <c r="A10" s="3" t="s">
        <v>20</v>
      </c>
      <c r="B10" s="4" t="s">
        <v>179</v>
      </c>
      <c r="C10" s="5">
        <v>1</v>
      </c>
      <c r="D10" s="5">
        <v>3</v>
      </c>
      <c r="E10" s="5">
        <v>1</v>
      </c>
      <c r="F10" s="5">
        <v>4</v>
      </c>
      <c r="G10" s="5">
        <v>1</v>
      </c>
      <c r="H10" s="5">
        <v>1</v>
      </c>
      <c r="I10" s="5">
        <v>3</v>
      </c>
      <c r="J10" s="5">
        <v>3</v>
      </c>
      <c r="K10" s="5">
        <v>1</v>
      </c>
      <c r="L10" s="5">
        <v>1</v>
      </c>
      <c r="M10" s="5">
        <v>4</v>
      </c>
      <c r="N10" s="5">
        <v>1</v>
      </c>
      <c r="O10" s="5">
        <v>1</v>
      </c>
      <c r="P10" s="5">
        <v>1</v>
      </c>
      <c r="Q10" s="5">
        <v>4</v>
      </c>
      <c r="R10" s="5">
        <v>1</v>
      </c>
      <c r="S10" s="5">
        <v>1</v>
      </c>
      <c r="T10" s="5">
        <v>4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4</v>
      </c>
      <c r="AB10" s="5">
        <v>1</v>
      </c>
      <c r="AC10" s="5">
        <v>1</v>
      </c>
      <c r="AD10" s="5">
        <v>1</v>
      </c>
      <c r="AE10" s="5">
        <v>1</v>
      </c>
      <c r="AF10" s="5">
        <v>1</v>
      </c>
      <c r="AG10" s="5">
        <v>1</v>
      </c>
      <c r="AH10" s="7">
        <f t="shared" si="1"/>
        <v>23</v>
      </c>
      <c r="AI10" s="8">
        <f t="shared" si="2"/>
        <v>0</v>
      </c>
      <c r="AJ10" s="9">
        <f t="shared" si="3"/>
        <v>3</v>
      </c>
      <c r="AK10" s="10">
        <f t="shared" si="0"/>
        <v>5</v>
      </c>
      <c r="AL10" s="11">
        <f t="shared" si="4"/>
        <v>0</v>
      </c>
    </row>
    <row r="11" spans="1:38" x14ac:dyDescent="0.35">
      <c r="A11" s="3" t="s">
        <v>69</v>
      </c>
      <c r="B11" s="4" t="s">
        <v>140</v>
      </c>
      <c r="C11" s="5">
        <v>1</v>
      </c>
      <c r="D11" s="5">
        <v>1</v>
      </c>
      <c r="E11" s="5">
        <v>1</v>
      </c>
      <c r="F11" s="5">
        <v>4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4</v>
      </c>
      <c r="N11" s="5">
        <v>1</v>
      </c>
      <c r="O11" s="5">
        <v>1</v>
      </c>
      <c r="P11" s="5">
        <v>1</v>
      </c>
      <c r="Q11" s="5">
        <v>4</v>
      </c>
      <c r="R11" s="5">
        <v>1</v>
      </c>
      <c r="S11" s="5">
        <v>1</v>
      </c>
      <c r="T11" s="5">
        <v>4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4</v>
      </c>
      <c r="AB11" s="5">
        <v>1</v>
      </c>
      <c r="AC11" s="5">
        <v>1</v>
      </c>
      <c r="AD11" s="5">
        <v>1</v>
      </c>
      <c r="AE11" s="5">
        <v>1</v>
      </c>
      <c r="AF11" s="5">
        <v>1</v>
      </c>
      <c r="AG11" s="5">
        <v>1</v>
      </c>
      <c r="AH11" s="7">
        <f t="shared" si="1"/>
        <v>26</v>
      </c>
      <c r="AI11" s="8">
        <f t="shared" si="2"/>
        <v>0</v>
      </c>
      <c r="AJ11" s="9">
        <f t="shared" si="3"/>
        <v>0</v>
      </c>
      <c r="AK11" s="10">
        <f t="shared" si="0"/>
        <v>5</v>
      </c>
      <c r="AL11" s="11">
        <f t="shared" si="4"/>
        <v>0</v>
      </c>
    </row>
    <row r="12" spans="1:38" x14ac:dyDescent="0.35">
      <c r="A12" s="3" t="s">
        <v>15</v>
      </c>
      <c r="B12" s="4" t="s">
        <v>214</v>
      </c>
      <c r="C12" s="5">
        <v>1</v>
      </c>
      <c r="D12" s="5">
        <v>1</v>
      </c>
      <c r="E12" s="5">
        <v>1</v>
      </c>
      <c r="F12" s="5">
        <v>4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4</v>
      </c>
      <c r="N12" s="5">
        <v>1</v>
      </c>
      <c r="O12" s="5">
        <v>1</v>
      </c>
      <c r="P12" s="5">
        <v>1</v>
      </c>
      <c r="Q12" s="5">
        <v>4</v>
      </c>
      <c r="R12" s="5">
        <v>1</v>
      </c>
      <c r="S12" s="5">
        <v>1</v>
      </c>
      <c r="T12" s="5">
        <v>4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4</v>
      </c>
      <c r="AB12" s="5">
        <v>1</v>
      </c>
      <c r="AC12" s="5">
        <v>1</v>
      </c>
      <c r="AD12" s="5">
        <v>1</v>
      </c>
      <c r="AE12" s="5">
        <v>1</v>
      </c>
      <c r="AF12" s="5">
        <v>1</v>
      </c>
      <c r="AG12" s="5">
        <v>1</v>
      </c>
      <c r="AH12" s="7">
        <f t="shared" si="1"/>
        <v>26</v>
      </c>
      <c r="AI12" s="8">
        <f t="shared" si="2"/>
        <v>0</v>
      </c>
      <c r="AJ12" s="9">
        <f t="shared" si="3"/>
        <v>0</v>
      </c>
      <c r="AK12" s="10">
        <f t="shared" si="0"/>
        <v>5</v>
      </c>
      <c r="AL12" s="11">
        <f t="shared" si="4"/>
        <v>0</v>
      </c>
    </row>
    <row r="13" spans="1:38" x14ac:dyDescent="0.35">
      <c r="A13" s="3" t="s">
        <v>23</v>
      </c>
      <c r="B13" s="4" t="s">
        <v>100</v>
      </c>
      <c r="C13" s="5">
        <v>1</v>
      </c>
      <c r="D13" s="5">
        <v>1</v>
      </c>
      <c r="E13" s="5">
        <v>1</v>
      </c>
      <c r="F13" s="5">
        <v>4</v>
      </c>
      <c r="G13" s="5">
        <v>1</v>
      </c>
      <c r="H13" s="5">
        <v>3</v>
      </c>
      <c r="I13" s="5">
        <v>1</v>
      </c>
      <c r="J13" s="5">
        <v>1</v>
      </c>
      <c r="K13" s="5">
        <v>1</v>
      </c>
      <c r="L13" s="5">
        <v>1</v>
      </c>
      <c r="M13" s="5">
        <v>4</v>
      </c>
      <c r="N13" s="5">
        <v>5</v>
      </c>
      <c r="O13" s="5">
        <v>1</v>
      </c>
      <c r="P13" s="5">
        <v>1</v>
      </c>
      <c r="Q13" s="5">
        <v>4</v>
      </c>
      <c r="R13" s="5">
        <v>1</v>
      </c>
      <c r="S13" s="5">
        <v>1</v>
      </c>
      <c r="T13" s="5">
        <v>4</v>
      </c>
      <c r="U13" s="5">
        <v>1</v>
      </c>
      <c r="V13" s="5">
        <v>1</v>
      </c>
      <c r="W13" s="5">
        <v>3</v>
      </c>
      <c r="X13" s="5">
        <v>3</v>
      </c>
      <c r="Y13" s="5">
        <v>3</v>
      </c>
      <c r="Z13" s="5">
        <v>1</v>
      </c>
      <c r="AA13" s="6">
        <v>4</v>
      </c>
      <c r="AB13" s="5">
        <v>1</v>
      </c>
      <c r="AC13" s="6">
        <v>1</v>
      </c>
      <c r="AD13" s="5">
        <v>2</v>
      </c>
      <c r="AE13" s="5">
        <v>1</v>
      </c>
      <c r="AF13" s="5">
        <v>1</v>
      </c>
      <c r="AG13" s="5">
        <v>4</v>
      </c>
      <c r="AH13" s="7">
        <f t="shared" si="1"/>
        <v>19</v>
      </c>
      <c r="AI13" s="8">
        <f t="shared" si="2"/>
        <v>1</v>
      </c>
      <c r="AJ13" s="9">
        <f t="shared" si="3"/>
        <v>4</v>
      </c>
      <c r="AK13" s="10">
        <f t="shared" si="0"/>
        <v>6</v>
      </c>
      <c r="AL13" s="11">
        <f t="shared" si="4"/>
        <v>1</v>
      </c>
    </row>
    <row r="14" spans="1:38" x14ac:dyDescent="0.35">
      <c r="A14" s="3" t="s">
        <v>23</v>
      </c>
      <c r="B14" s="4" t="s">
        <v>225</v>
      </c>
      <c r="C14" s="5">
        <v>1</v>
      </c>
      <c r="D14" s="5">
        <v>1</v>
      </c>
      <c r="E14" s="5">
        <v>1</v>
      </c>
      <c r="F14" s="5">
        <v>4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4</v>
      </c>
      <c r="R14" s="5">
        <v>5</v>
      </c>
      <c r="S14" s="5">
        <v>1</v>
      </c>
      <c r="T14" s="5">
        <v>4</v>
      </c>
      <c r="U14" s="5">
        <v>1</v>
      </c>
      <c r="V14" s="5">
        <v>1</v>
      </c>
      <c r="W14" s="5">
        <v>1</v>
      </c>
      <c r="X14" s="5">
        <v>1</v>
      </c>
      <c r="Y14" s="5">
        <v>3</v>
      </c>
      <c r="Z14" s="5">
        <v>4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  <c r="AF14" s="5">
        <v>1</v>
      </c>
      <c r="AG14" s="5">
        <v>4</v>
      </c>
      <c r="AH14" s="7">
        <f t="shared" si="1"/>
        <v>24</v>
      </c>
      <c r="AI14" s="8">
        <f t="shared" si="2"/>
        <v>0</v>
      </c>
      <c r="AJ14" s="9">
        <f t="shared" si="3"/>
        <v>1</v>
      </c>
      <c r="AK14" s="10">
        <f t="shared" si="0"/>
        <v>5</v>
      </c>
      <c r="AL14" s="11">
        <f t="shared" si="4"/>
        <v>1</v>
      </c>
    </row>
    <row r="15" spans="1:38" x14ac:dyDescent="0.35">
      <c r="A15" s="3" t="s">
        <v>143</v>
      </c>
      <c r="B15" s="4" t="s">
        <v>188</v>
      </c>
      <c r="C15" s="5">
        <v>2</v>
      </c>
      <c r="D15" s="5">
        <v>4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4</v>
      </c>
      <c r="L15" s="5">
        <v>1</v>
      </c>
      <c r="M15" s="5">
        <v>1</v>
      </c>
      <c r="N15" s="5">
        <v>1</v>
      </c>
      <c r="O15" s="5">
        <v>1</v>
      </c>
      <c r="P15" s="6">
        <v>1</v>
      </c>
      <c r="Q15" s="5">
        <v>4</v>
      </c>
      <c r="R15" s="5">
        <v>4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>
        <v>4</v>
      </c>
      <c r="Z15" s="5">
        <v>1</v>
      </c>
      <c r="AA15" s="5">
        <v>4</v>
      </c>
      <c r="AB15" s="5">
        <v>1</v>
      </c>
      <c r="AC15" s="5">
        <v>1</v>
      </c>
      <c r="AD15" s="5">
        <v>1</v>
      </c>
      <c r="AE15" s="5">
        <v>1</v>
      </c>
      <c r="AF15" s="5">
        <v>4</v>
      </c>
      <c r="AG15" s="5">
        <v>1</v>
      </c>
      <c r="AH15" s="7">
        <f t="shared" si="1"/>
        <v>23</v>
      </c>
      <c r="AI15" s="8">
        <f t="shared" si="2"/>
        <v>1</v>
      </c>
      <c r="AJ15" s="9">
        <f t="shared" si="3"/>
        <v>0</v>
      </c>
      <c r="AK15" s="10">
        <f t="shared" si="0"/>
        <v>7</v>
      </c>
      <c r="AL15" s="11">
        <f t="shared" si="4"/>
        <v>0</v>
      </c>
    </row>
    <row r="16" spans="1:38" x14ac:dyDescent="0.35">
      <c r="A16" s="3" t="s">
        <v>160</v>
      </c>
      <c r="B16" s="4" t="s">
        <v>222</v>
      </c>
      <c r="C16" s="5"/>
      <c r="D16" s="5"/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4</v>
      </c>
      <c r="L16" s="5">
        <v>1</v>
      </c>
      <c r="M16" s="5">
        <v>4</v>
      </c>
      <c r="N16" s="5">
        <v>1</v>
      </c>
      <c r="O16" s="5">
        <v>1</v>
      </c>
      <c r="P16" s="5">
        <v>1</v>
      </c>
      <c r="Q16" s="5">
        <v>4</v>
      </c>
      <c r="R16" s="5">
        <v>1</v>
      </c>
      <c r="S16" s="5">
        <v>1</v>
      </c>
      <c r="T16" s="5">
        <v>4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4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7">
        <f t="shared" si="1"/>
        <v>24</v>
      </c>
      <c r="AI16" s="8">
        <f t="shared" si="2"/>
        <v>0</v>
      </c>
      <c r="AJ16" s="9">
        <f t="shared" si="3"/>
        <v>0</v>
      </c>
      <c r="AK16" s="10">
        <f t="shared" si="0"/>
        <v>5</v>
      </c>
      <c r="AL16" s="11">
        <f t="shared" si="4"/>
        <v>0</v>
      </c>
    </row>
    <row r="17" spans="1:38" x14ac:dyDescent="0.35">
      <c r="A17" s="3" t="s">
        <v>210</v>
      </c>
      <c r="B17" s="4" t="s">
        <v>221</v>
      </c>
      <c r="C17" s="5">
        <v>1</v>
      </c>
      <c r="D17" s="5">
        <v>1</v>
      </c>
      <c r="E17" s="5">
        <v>1</v>
      </c>
      <c r="F17" s="5">
        <v>4</v>
      </c>
      <c r="G17" s="5">
        <v>5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4</v>
      </c>
      <c r="N17" s="5">
        <v>1</v>
      </c>
      <c r="O17" s="5">
        <v>1</v>
      </c>
      <c r="P17" s="5">
        <v>1</v>
      </c>
      <c r="Q17" s="5">
        <v>4</v>
      </c>
      <c r="R17" s="5">
        <v>1</v>
      </c>
      <c r="S17" s="6">
        <v>1</v>
      </c>
      <c r="T17" s="5">
        <v>4</v>
      </c>
      <c r="U17" s="5">
        <v>1</v>
      </c>
      <c r="V17" s="5">
        <v>1</v>
      </c>
      <c r="W17" s="5">
        <v>1</v>
      </c>
      <c r="X17" s="5">
        <v>1</v>
      </c>
      <c r="Y17" s="5">
        <v>1</v>
      </c>
      <c r="Z17" s="5">
        <v>1</v>
      </c>
      <c r="AA17" s="5">
        <v>4</v>
      </c>
      <c r="AB17" s="5">
        <v>1</v>
      </c>
      <c r="AC17" s="5">
        <v>1</v>
      </c>
      <c r="AD17" s="5">
        <v>1</v>
      </c>
      <c r="AE17" s="5">
        <v>1</v>
      </c>
      <c r="AF17" s="5">
        <v>1</v>
      </c>
      <c r="AG17" s="5">
        <v>1</v>
      </c>
      <c r="AH17" s="7">
        <f t="shared" si="1"/>
        <v>25</v>
      </c>
      <c r="AI17" s="8">
        <f t="shared" si="2"/>
        <v>0</v>
      </c>
      <c r="AJ17" s="9">
        <f t="shared" si="3"/>
        <v>0</v>
      </c>
      <c r="AK17" s="10">
        <f t="shared" si="0"/>
        <v>5</v>
      </c>
      <c r="AL17" s="11">
        <f t="shared" si="4"/>
        <v>1</v>
      </c>
    </row>
    <row r="18" spans="1:38" x14ac:dyDescent="0.35">
      <c r="A18" s="3" t="s">
        <v>24</v>
      </c>
      <c r="B18" s="4" t="s">
        <v>25</v>
      </c>
      <c r="C18" s="5">
        <v>1</v>
      </c>
      <c r="D18" s="5">
        <v>1</v>
      </c>
      <c r="E18" s="5">
        <v>1</v>
      </c>
      <c r="F18" s="5">
        <v>4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4</v>
      </c>
      <c r="N18" s="5">
        <v>1</v>
      </c>
      <c r="O18" s="5">
        <v>1</v>
      </c>
      <c r="P18" s="5">
        <v>1</v>
      </c>
      <c r="Q18" s="5">
        <v>4</v>
      </c>
      <c r="R18" s="5">
        <v>1</v>
      </c>
      <c r="S18" s="5">
        <v>1</v>
      </c>
      <c r="T18" s="5">
        <v>4</v>
      </c>
      <c r="U18" s="5">
        <v>1</v>
      </c>
      <c r="V18" s="5">
        <v>1</v>
      </c>
      <c r="W18" s="5">
        <v>1</v>
      </c>
      <c r="X18" s="5">
        <v>1</v>
      </c>
      <c r="Y18" s="5">
        <v>1</v>
      </c>
      <c r="Z18" s="5">
        <v>1</v>
      </c>
      <c r="AA18" s="5">
        <v>4</v>
      </c>
      <c r="AB18" s="5">
        <v>1</v>
      </c>
      <c r="AC18" s="6">
        <v>1</v>
      </c>
      <c r="AD18" s="5">
        <v>1</v>
      </c>
      <c r="AE18" s="5">
        <v>1</v>
      </c>
      <c r="AF18" s="5">
        <v>1</v>
      </c>
      <c r="AG18" s="5">
        <v>1</v>
      </c>
      <c r="AH18" s="7">
        <f t="shared" si="1"/>
        <v>26</v>
      </c>
      <c r="AI18" s="8">
        <f t="shared" si="2"/>
        <v>0</v>
      </c>
      <c r="AJ18" s="9">
        <f t="shared" si="3"/>
        <v>0</v>
      </c>
      <c r="AK18" s="10">
        <f t="shared" si="0"/>
        <v>5</v>
      </c>
      <c r="AL18" s="11">
        <f t="shared" si="4"/>
        <v>0</v>
      </c>
    </row>
    <row r="19" spans="1:38" x14ac:dyDescent="0.35">
      <c r="A19" s="3" t="s">
        <v>224</v>
      </c>
      <c r="B19" s="4" t="s">
        <v>109</v>
      </c>
      <c r="C19" s="5">
        <v>1</v>
      </c>
      <c r="D19" s="5">
        <v>1</v>
      </c>
      <c r="E19" s="5">
        <v>1</v>
      </c>
      <c r="F19" s="5">
        <v>4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4</v>
      </c>
      <c r="N19" s="5">
        <v>1</v>
      </c>
      <c r="O19" s="5">
        <v>1</v>
      </c>
      <c r="P19" s="5">
        <v>1</v>
      </c>
      <c r="Q19" s="5">
        <v>4</v>
      </c>
      <c r="R19" s="5">
        <v>1</v>
      </c>
      <c r="S19" s="5">
        <v>1</v>
      </c>
      <c r="T19" s="5">
        <v>4</v>
      </c>
      <c r="U19" s="5">
        <v>1</v>
      </c>
      <c r="V19" s="5">
        <v>3</v>
      </c>
      <c r="W19" s="5">
        <v>1</v>
      </c>
      <c r="X19" s="5">
        <v>1</v>
      </c>
      <c r="Y19" s="5">
        <v>1</v>
      </c>
      <c r="Z19" s="5">
        <v>1</v>
      </c>
      <c r="AA19" s="6">
        <v>4</v>
      </c>
      <c r="AB19" s="5">
        <v>1</v>
      </c>
      <c r="AC19" s="5">
        <v>1</v>
      </c>
      <c r="AD19" s="5">
        <v>3</v>
      </c>
      <c r="AE19" s="5">
        <v>3</v>
      </c>
      <c r="AF19" s="5">
        <v>3</v>
      </c>
      <c r="AG19" s="5">
        <v>4</v>
      </c>
      <c r="AH19" s="7">
        <f t="shared" si="1"/>
        <v>21</v>
      </c>
      <c r="AI19" s="8">
        <f t="shared" si="2"/>
        <v>0</v>
      </c>
      <c r="AJ19" s="9">
        <f t="shared" si="3"/>
        <v>4</v>
      </c>
      <c r="AK19" s="10">
        <f t="shared" si="0"/>
        <v>6</v>
      </c>
      <c r="AL19" s="11">
        <f t="shared" si="4"/>
        <v>0</v>
      </c>
    </row>
    <row r="20" spans="1:38" x14ac:dyDescent="0.35">
      <c r="A20" s="3" t="s">
        <v>32</v>
      </c>
      <c r="B20" s="4" t="s">
        <v>215</v>
      </c>
      <c r="C20" s="5">
        <v>1</v>
      </c>
      <c r="D20" s="5">
        <v>1</v>
      </c>
      <c r="E20" s="5">
        <v>1</v>
      </c>
      <c r="F20" s="5">
        <v>1</v>
      </c>
      <c r="G20" s="5">
        <v>4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4</v>
      </c>
      <c r="N20" s="5">
        <v>1</v>
      </c>
      <c r="O20" s="5">
        <v>1</v>
      </c>
      <c r="P20" s="5">
        <v>1</v>
      </c>
      <c r="Q20" s="5">
        <v>4</v>
      </c>
      <c r="R20" s="5">
        <v>1</v>
      </c>
      <c r="S20" s="6">
        <v>1</v>
      </c>
      <c r="T20" s="5">
        <v>4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4</v>
      </c>
      <c r="AB20" s="5">
        <v>1</v>
      </c>
      <c r="AC20" s="5">
        <v>1</v>
      </c>
      <c r="AD20" s="5">
        <v>1</v>
      </c>
      <c r="AE20" s="5">
        <v>1</v>
      </c>
      <c r="AF20" s="5">
        <v>1</v>
      </c>
      <c r="AG20" s="5">
        <v>1</v>
      </c>
      <c r="AH20" s="7">
        <f t="shared" si="1"/>
        <v>26</v>
      </c>
      <c r="AI20" s="8">
        <f t="shared" si="2"/>
        <v>0</v>
      </c>
      <c r="AJ20" s="9">
        <f t="shared" si="3"/>
        <v>0</v>
      </c>
      <c r="AK20" s="10">
        <f t="shared" si="0"/>
        <v>5</v>
      </c>
      <c r="AL20" s="11">
        <f t="shared" si="4"/>
        <v>0</v>
      </c>
    </row>
    <row r="21" spans="1:38" x14ac:dyDescent="0.35">
      <c r="A21" s="3" t="s">
        <v>211</v>
      </c>
      <c r="B21" s="14" t="s">
        <v>17</v>
      </c>
      <c r="C21" s="5">
        <v>1</v>
      </c>
      <c r="D21" s="5">
        <v>2</v>
      </c>
      <c r="E21" s="5">
        <v>1</v>
      </c>
      <c r="F21" s="5">
        <v>4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1</v>
      </c>
      <c r="M21" s="5">
        <v>4</v>
      </c>
      <c r="N21" s="5">
        <v>1</v>
      </c>
      <c r="O21" s="5">
        <v>1</v>
      </c>
      <c r="P21" s="5">
        <v>1</v>
      </c>
      <c r="Q21" s="5">
        <v>4</v>
      </c>
      <c r="R21" s="5">
        <v>1</v>
      </c>
      <c r="S21" s="5">
        <v>1</v>
      </c>
      <c r="T21" s="5">
        <v>4</v>
      </c>
      <c r="U21" s="5">
        <v>1</v>
      </c>
      <c r="V21" s="5">
        <v>1</v>
      </c>
      <c r="W21" s="5">
        <v>1</v>
      </c>
      <c r="X21" s="6">
        <v>1</v>
      </c>
      <c r="Y21" s="5">
        <v>1</v>
      </c>
      <c r="Z21" s="5">
        <v>1</v>
      </c>
      <c r="AA21" s="5">
        <v>4</v>
      </c>
      <c r="AB21" s="5">
        <v>1</v>
      </c>
      <c r="AC21" s="5">
        <v>1</v>
      </c>
      <c r="AD21" s="6">
        <v>1</v>
      </c>
      <c r="AE21" s="5">
        <v>1</v>
      </c>
      <c r="AF21" s="5">
        <v>1</v>
      </c>
      <c r="AG21" s="5">
        <v>1</v>
      </c>
      <c r="AH21" s="7">
        <f t="shared" si="1"/>
        <v>25</v>
      </c>
      <c r="AI21" s="8">
        <f t="shared" si="2"/>
        <v>1</v>
      </c>
      <c r="AJ21" s="9">
        <f t="shared" si="3"/>
        <v>0</v>
      </c>
      <c r="AK21" s="10">
        <f t="shared" si="0"/>
        <v>5</v>
      </c>
      <c r="AL21" s="11">
        <f t="shared" si="4"/>
        <v>0</v>
      </c>
    </row>
    <row r="22" spans="1:38" x14ac:dyDescent="0.35">
      <c r="A22" s="3" t="s">
        <v>212</v>
      </c>
      <c r="B22" s="4" t="s">
        <v>38</v>
      </c>
      <c r="C22" s="5">
        <v>1</v>
      </c>
      <c r="D22" s="5">
        <v>2</v>
      </c>
      <c r="E22" s="5">
        <v>1</v>
      </c>
      <c r="F22" s="5">
        <v>1</v>
      </c>
      <c r="G22" s="5">
        <v>4</v>
      </c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5">
        <v>4</v>
      </c>
      <c r="N22" s="5">
        <v>1</v>
      </c>
      <c r="O22" s="5">
        <v>1</v>
      </c>
      <c r="P22" s="5">
        <v>1</v>
      </c>
      <c r="Q22" s="5">
        <v>4</v>
      </c>
      <c r="R22" s="5">
        <v>1</v>
      </c>
      <c r="S22" s="5">
        <v>1</v>
      </c>
      <c r="T22" s="5">
        <v>1</v>
      </c>
      <c r="U22" s="5">
        <v>4</v>
      </c>
      <c r="V22" s="6">
        <v>1</v>
      </c>
      <c r="W22" s="5">
        <v>1</v>
      </c>
      <c r="X22" s="5">
        <v>1</v>
      </c>
      <c r="Y22" s="5">
        <v>1</v>
      </c>
      <c r="Z22" s="5">
        <v>1</v>
      </c>
      <c r="AA22" s="5">
        <v>4</v>
      </c>
      <c r="AB22" s="5">
        <v>1</v>
      </c>
      <c r="AC22" s="5">
        <v>1</v>
      </c>
      <c r="AD22" s="5">
        <v>1</v>
      </c>
      <c r="AE22" s="5">
        <v>1</v>
      </c>
      <c r="AF22" s="5">
        <v>1</v>
      </c>
      <c r="AG22" s="5">
        <v>1</v>
      </c>
      <c r="AH22" s="7">
        <f t="shared" si="1"/>
        <v>25</v>
      </c>
      <c r="AI22" s="8">
        <f t="shared" si="2"/>
        <v>1</v>
      </c>
      <c r="AJ22" s="9">
        <f t="shared" si="3"/>
        <v>0</v>
      </c>
      <c r="AK22" s="10">
        <f t="shared" si="0"/>
        <v>5</v>
      </c>
      <c r="AL22" s="11">
        <f t="shared" si="4"/>
        <v>0</v>
      </c>
    </row>
    <row r="23" spans="1:38" x14ac:dyDescent="0.35">
      <c r="A23" s="3" t="s">
        <v>21</v>
      </c>
      <c r="B23" s="4" t="s">
        <v>124</v>
      </c>
      <c r="C23" s="5">
        <v>1</v>
      </c>
      <c r="D23" s="5">
        <v>2</v>
      </c>
      <c r="E23" s="5">
        <v>1</v>
      </c>
      <c r="F23" s="5">
        <v>4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4</v>
      </c>
      <c r="N23" s="5">
        <v>1</v>
      </c>
      <c r="O23" s="5">
        <v>1</v>
      </c>
      <c r="P23" s="6">
        <v>1</v>
      </c>
      <c r="Q23" s="5">
        <v>4</v>
      </c>
      <c r="R23" s="5">
        <v>1</v>
      </c>
      <c r="S23" s="5">
        <v>1</v>
      </c>
      <c r="T23" s="5">
        <v>4</v>
      </c>
      <c r="U23" s="5">
        <v>1</v>
      </c>
      <c r="V23" s="5">
        <v>1</v>
      </c>
      <c r="W23" s="5">
        <v>3</v>
      </c>
      <c r="X23" s="5">
        <v>3</v>
      </c>
      <c r="Y23" s="5">
        <v>1</v>
      </c>
      <c r="Z23" s="5">
        <v>1</v>
      </c>
      <c r="AA23" s="5">
        <v>4</v>
      </c>
      <c r="AB23" s="5">
        <v>3</v>
      </c>
      <c r="AC23" s="5">
        <v>1</v>
      </c>
      <c r="AD23" s="5">
        <v>1</v>
      </c>
      <c r="AE23" s="5">
        <v>1</v>
      </c>
      <c r="AF23" s="5">
        <v>1</v>
      </c>
      <c r="AG23" s="5">
        <v>1</v>
      </c>
      <c r="AH23" s="7">
        <f t="shared" si="1"/>
        <v>22</v>
      </c>
      <c r="AI23" s="8">
        <f t="shared" si="2"/>
        <v>1</v>
      </c>
      <c r="AJ23" s="9">
        <f t="shared" si="3"/>
        <v>3</v>
      </c>
      <c r="AK23" s="10">
        <f t="shared" si="0"/>
        <v>5</v>
      </c>
      <c r="AL23" s="11">
        <f t="shared" si="4"/>
        <v>0</v>
      </c>
    </row>
    <row r="24" spans="1:38" x14ac:dyDescent="0.35">
      <c r="A24" s="3" t="s">
        <v>28</v>
      </c>
      <c r="B24" s="4" t="s">
        <v>198</v>
      </c>
      <c r="C24" s="5">
        <v>1</v>
      </c>
      <c r="D24" s="5">
        <v>1</v>
      </c>
      <c r="E24" s="5">
        <v>1</v>
      </c>
      <c r="F24" s="5">
        <v>1</v>
      </c>
      <c r="G24" s="5">
        <v>4</v>
      </c>
      <c r="H24" s="5">
        <v>1</v>
      </c>
      <c r="I24" s="5">
        <v>1</v>
      </c>
      <c r="J24" s="5">
        <v>1</v>
      </c>
      <c r="K24" s="5">
        <v>1</v>
      </c>
      <c r="L24" s="5">
        <v>1</v>
      </c>
      <c r="M24" s="5">
        <v>4</v>
      </c>
      <c r="N24" s="5">
        <v>1</v>
      </c>
      <c r="O24" s="5">
        <v>1</v>
      </c>
      <c r="P24" s="5">
        <v>1</v>
      </c>
      <c r="Q24" s="5">
        <v>4</v>
      </c>
      <c r="R24" s="5">
        <v>1</v>
      </c>
      <c r="S24" s="5">
        <v>1</v>
      </c>
      <c r="T24" s="5">
        <v>4</v>
      </c>
      <c r="U24" s="5">
        <v>1</v>
      </c>
      <c r="V24" s="5">
        <v>1</v>
      </c>
      <c r="W24" s="5">
        <v>4</v>
      </c>
      <c r="X24" s="5">
        <v>1</v>
      </c>
      <c r="Y24" s="5">
        <v>1</v>
      </c>
      <c r="Z24" s="6">
        <v>1</v>
      </c>
      <c r="AA24" s="5">
        <v>4</v>
      </c>
      <c r="AB24" s="5">
        <v>1</v>
      </c>
      <c r="AC24" s="5">
        <v>1</v>
      </c>
      <c r="AD24" s="6">
        <v>1</v>
      </c>
      <c r="AE24" s="5">
        <v>1</v>
      </c>
      <c r="AF24" s="5">
        <v>1</v>
      </c>
      <c r="AG24" s="5">
        <v>1</v>
      </c>
      <c r="AH24" s="7">
        <f t="shared" si="1"/>
        <v>25</v>
      </c>
      <c r="AI24" s="8">
        <f t="shared" si="2"/>
        <v>0</v>
      </c>
      <c r="AJ24" s="9">
        <f t="shared" si="3"/>
        <v>0</v>
      </c>
      <c r="AK24" s="10">
        <f t="shared" si="0"/>
        <v>6</v>
      </c>
      <c r="AL24" s="11">
        <f t="shared" si="4"/>
        <v>0</v>
      </c>
    </row>
    <row r="25" spans="1:38" x14ac:dyDescent="0.35">
      <c r="A25" s="4" t="s">
        <v>202</v>
      </c>
      <c r="B25" s="19" t="s">
        <v>203</v>
      </c>
      <c r="C25" s="5">
        <v>1</v>
      </c>
      <c r="D25" s="5">
        <v>4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4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4</v>
      </c>
      <c r="R25" s="5">
        <v>4</v>
      </c>
      <c r="S25" s="5">
        <v>1</v>
      </c>
      <c r="T25" s="5">
        <v>1</v>
      </c>
      <c r="U25" s="5">
        <v>1</v>
      </c>
      <c r="V25" s="5">
        <v>1</v>
      </c>
      <c r="W25" s="5">
        <v>1</v>
      </c>
      <c r="X25" s="6">
        <v>1</v>
      </c>
      <c r="Y25" s="5">
        <v>4</v>
      </c>
      <c r="Z25" s="5">
        <v>1</v>
      </c>
      <c r="AA25" s="6">
        <v>1</v>
      </c>
      <c r="AB25" s="5">
        <v>1</v>
      </c>
      <c r="AC25" s="6">
        <v>1</v>
      </c>
      <c r="AD25" s="5">
        <v>1</v>
      </c>
      <c r="AE25" s="5">
        <v>1</v>
      </c>
      <c r="AF25" s="5">
        <v>4</v>
      </c>
      <c r="AG25" s="5">
        <v>1</v>
      </c>
      <c r="AH25" s="7">
        <f t="shared" si="1"/>
        <v>25</v>
      </c>
      <c r="AI25" s="8">
        <f t="shared" si="2"/>
        <v>0</v>
      </c>
      <c r="AJ25" s="9">
        <f t="shared" si="3"/>
        <v>0</v>
      </c>
      <c r="AK25" s="10">
        <f t="shared" si="0"/>
        <v>6</v>
      </c>
      <c r="AL25" s="11">
        <f t="shared" si="4"/>
        <v>0</v>
      </c>
    </row>
    <row r="26" spans="1:38" x14ac:dyDescent="0.35">
      <c r="A26" s="4" t="s">
        <v>195</v>
      </c>
      <c r="B26" s="4" t="s">
        <v>41</v>
      </c>
      <c r="C26" s="5">
        <v>1</v>
      </c>
      <c r="D26" s="5">
        <v>4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1</v>
      </c>
      <c r="K26" s="5">
        <v>4</v>
      </c>
      <c r="L26" s="5">
        <v>1</v>
      </c>
      <c r="M26" s="5">
        <v>1</v>
      </c>
      <c r="N26" s="6">
        <v>1</v>
      </c>
      <c r="O26" s="6">
        <v>1</v>
      </c>
      <c r="P26" s="5">
        <v>1</v>
      </c>
      <c r="Q26" s="5">
        <v>4</v>
      </c>
      <c r="R26" s="5">
        <v>4</v>
      </c>
      <c r="S26" s="5">
        <v>1</v>
      </c>
      <c r="T26" s="5">
        <v>1</v>
      </c>
      <c r="U26" s="5">
        <v>1</v>
      </c>
      <c r="V26" s="5">
        <v>1</v>
      </c>
      <c r="W26" s="6">
        <v>1</v>
      </c>
      <c r="X26" s="5">
        <v>1</v>
      </c>
      <c r="Y26" s="5">
        <v>4</v>
      </c>
      <c r="Z26" s="6">
        <v>1</v>
      </c>
      <c r="AA26" s="5">
        <v>1</v>
      </c>
      <c r="AB26" s="5">
        <v>1</v>
      </c>
      <c r="AC26" s="5">
        <v>1</v>
      </c>
      <c r="AD26" s="5">
        <v>1</v>
      </c>
      <c r="AE26" s="5">
        <v>1</v>
      </c>
      <c r="AF26" s="6">
        <v>4</v>
      </c>
      <c r="AG26" s="5">
        <v>1</v>
      </c>
      <c r="AH26" s="7">
        <f t="shared" si="1"/>
        <v>25</v>
      </c>
      <c r="AI26" s="8">
        <f t="shared" si="2"/>
        <v>0</v>
      </c>
      <c r="AJ26" s="9">
        <f t="shared" si="3"/>
        <v>0</v>
      </c>
      <c r="AK26" s="10">
        <f t="shared" si="0"/>
        <v>6</v>
      </c>
      <c r="AL26" s="11">
        <f t="shared" si="4"/>
        <v>0</v>
      </c>
    </row>
    <row r="27" spans="1:38" x14ac:dyDescent="0.35">
      <c r="A27" s="4" t="s">
        <v>181</v>
      </c>
      <c r="B27" s="4" t="s">
        <v>219</v>
      </c>
      <c r="C27" s="5">
        <v>1</v>
      </c>
      <c r="D27" s="5">
        <v>4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4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4</v>
      </c>
      <c r="R27" s="5">
        <v>4</v>
      </c>
      <c r="S27" s="5">
        <v>1</v>
      </c>
      <c r="T27" s="5">
        <v>1</v>
      </c>
      <c r="U27" s="6">
        <v>1</v>
      </c>
      <c r="V27" s="5">
        <v>1</v>
      </c>
      <c r="W27" s="5">
        <v>1</v>
      </c>
      <c r="X27" s="5">
        <v>1</v>
      </c>
      <c r="Y27" s="5">
        <v>4</v>
      </c>
      <c r="Z27" s="5">
        <v>1</v>
      </c>
      <c r="AA27" s="5">
        <v>1</v>
      </c>
      <c r="AB27" s="5">
        <v>3</v>
      </c>
      <c r="AC27" s="5">
        <v>1</v>
      </c>
      <c r="AD27" s="5">
        <v>1</v>
      </c>
      <c r="AE27" s="6">
        <v>1</v>
      </c>
      <c r="AF27" s="5">
        <v>4</v>
      </c>
      <c r="AG27" s="5">
        <v>1</v>
      </c>
      <c r="AH27" s="7">
        <f t="shared" si="1"/>
        <v>24</v>
      </c>
      <c r="AI27" s="8">
        <f t="shared" si="2"/>
        <v>0</v>
      </c>
      <c r="AJ27" s="9">
        <f t="shared" si="3"/>
        <v>1</v>
      </c>
      <c r="AK27" s="10">
        <f t="shared" si="0"/>
        <v>6</v>
      </c>
      <c r="AL27" s="11">
        <f t="shared" si="4"/>
        <v>0</v>
      </c>
    </row>
    <row r="28" spans="1:38" x14ac:dyDescent="0.35">
      <c r="A28" s="4" t="s">
        <v>145</v>
      </c>
      <c r="B28" s="4" t="s">
        <v>43</v>
      </c>
      <c r="C28" s="5">
        <v>1</v>
      </c>
      <c r="D28" s="5">
        <v>4</v>
      </c>
      <c r="E28" s="5">
        <v>1</v>
      </c>
      <c r="F28" s="5">
        <v>1</v>
      </c>
      <c r="G28" s="5">
        <v>1</v>
      </c>
      <c r="H28" s="5">
        <v>1</v>
      </c>
      <c r="I28" s="5">
        <v>1</v>
      </c>
      <c r="J28" s="5">
        <v>1</v>
      </c>
      <c r="K28" s="5">
        <v>4</v>
      </c>
      <c r="L28" s="5">
        <v>1</v>
      </c>
      <c r="M28" s="5">
        <v>1</v>
      </c>
      <c r="N28" s="5">
        <v>1</v>
      </c>
      <c r="O28" s="6">
        <v>1</v>
      </c>
      <c r="P28" s="5">
        <v>1</v>
      </c>
      <c r="Q28" s="5">
        <v>4</v>
      </c>
      <c r="R28" s="5">
        <v>4</v>
      </c>
      <c r="S28" s="6">
        <v>1</v>
      </c>
      <c r="T28" s="5">
        <v>1</v>
      </c>
      <c r="U28" s="5">
        <v>1</v>
      </c>
      <c r="V28" s="5">
        <v>1</v>
      </c>
      <c r="W28" s="5">
        <v>1</v>
      </c>
      <c r="X28" s="6">
        <v>1</v>
      </c>
      <c r="Y28" s="5">
        <v>4</v>
      </c>
      <c r="Z28" s="5">
        <v>1</v>
      </c>
      <c r="AA28" s="6">
        <v>1</v>
      </c>
      <c r="AB28" s="5">
        <v>1</v>
      </c>
      <c r="AC28" s="5">
        <v>1</v>
      </c>
      <c r="AD28" s="5">
        <v>1</v>
      </c>
      <c r="AE28" s="5">
        <v>1</v>
      </c>
      <c r="AF28" s="5">
        <v>4</v>
      </c>
      <c r="AG28" s="5">
        <v>1</v>
      </c>
      <c r="AH28" s="7">
        <f t="shared" si="1"/>
        <v>25</v>
      </c>
      <c r="AI28" s="8">
        <f t="shared" si="2"/>
        <v>0</v>
      </c>
      <c r="AJ28" s="9">
        <f t="shared" si="3"/>
        <v>0</v>
      </c>
      <c r="AK28" s="10">
        <f t="shared" si="0"/>
        <v>6</v>
      </c>
      <c r="AL28" s="11">
        <f t="shared" si="4"/>
        <v>0</v>
      </c>
    </row>
    <row r="29" spans="1:38" x14ac:dyDescent="0.35">
      <c r="A29" s="4" t="s">
        <v>145</v>
      </c>
      <c r="B29" s="4" t="s">
        <v>146</v>
      </c>
      <c r="C29" s="5">
        <v>1</v>
      </c>
      <c r="D29" s="5">
        <v>4</v>
      </c>
      <c r="E29" s="5">
        <v>1</v>
      </c>
      <c r="F29" s="5">
        <v>1</v>
      </c>
      <c r="G29" s="5">
        <v>1</v>
      </c>
      <c r="H29" s="5">
        <v>1</v>
      </c>
      <c r="I29" s="5">
        <v>3</v>
      </c>
      <c r="J29" s="5">
        <v>3</v>
      </c>
      <c r="K29" s="5">
        <v>4</v>
      </c>
      <c r="L29" s="5">
        <v>1</v>
      </c>
      <c r="M29" s="5">
        <v>1</v>
      </c>
      <c r="N29" s="5">
        <v>1</v>
      </c>
      <c r="O29" s="5">
        <v>1</v>
      </c>
      <c r="P29" s="5">
        <v>1</v>
      </c>
      <c r="Q29" s="5">
        <v>4</v>
      </c>
      <c r="R29" s="5">
        <v>4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4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1</v>
      </c>
      <c r="AF29" s="5">
        <v>4</v>
      </c>
      <c r="AG29" s="5">
        <v>4</v>
      </c>
      <c r="AH29" s="7">
        <f t="shared" si="1"/>
        <v>22</v>
      </c>
      <c r="AI29" s="8">
        <f t="shared" si="2"/>
        <v>0</v>
      </c>
      <c r="AJ29" s="9">
        <f t="shared" si="3"/>
        <v>2</v>
      </c>
      <c r="AK29" s="10">
        <f t="shared" si="0"/>
        <v>7</v>
      </c>
      <c r="AL29" s="11">
        <f t="shared" si="4"/>
        <v>0</v>
      </c>
    </row>
    <row r="31" spans="1:38" x14ac:dyDescent="0.35">
      <c r="H31" s="17" t="s">
        <v>227</v>
      </c>
      <c r="I31" s="17"/>
      <c r="J31" s="17"/>
    </row>
    <row r="32" spans="1:38" x14ac:dyDescent="0.35">
      <c r="G32" s="17"/>
      <c r="H32" s="17"/>
      <c r="I32" s="17"/>
      <c r="J32" s="17"/>
    </row>
    <row r="33" spans="6:8" x14ac:dyDescent="0.35">
      <c r="G33" s="18" t="s">
        <v>239</v>
      </c>
      <c r="H33" s="18"/>
    </row>
    <row r="35" spans="6:8" x14ac:dyDescent="0.35">
      <c r="G35" s="16" t="s">
        <v>228</v>
      </c>
    </row>
    <row r="36" spans="6:8" x14ac:dyDescent="0.35">
      <c r="G36" s="16" t="s">
        <v>229</v>
      </c>
    </row>
    <row r="37" spans="6:8" x14ac:dyDescent="0.35">
      <c r="G37" s="16" t="s">
        <v>230</v>
      </c>
    </row>
    <row r="38" spans="6:8" x14ac:dyDescent="0.35">
      <c r="G38" s="16" t="s">
        <v>238</v>
      </c>
    </row>
    <row r="39" spans="6:8" x14ac:dyDescent="0.35">
      <c r="F39" s="16"/>
    </row>
    <row r="40" spans="6:8" x14ac:dyDescent="0.35">
      <c r="F40" s="16"/>
      <c r="G40" s="16"/>
    </row>
    <row r="41" spans="6:8" x14ac:dyDescent="0.35">
      <c r="F41" s="16"/>
    </row>
    <row r="42" spans="6:8" x14ac:dyDescent="0.35">
      <c r="F42" s="16"/>
      <c r="G42" s="18" t="s">
        <v>231</v>
      </c>
      <c r="H42" s="16"/>
    </row>
    <row r="43" spans="6:8" x14ac:dyDescent="0.35">
      <c r="G43" t="s">
        <v>232</v>
      </c>
    </row>
    <row r="45" spans="6:8" x14ac:dyDescent="0.35">
      <c r="F45" s="18"/>
      <c r="G45" s="18" t="s">
        <v>237</v>
      </c>
      <c r="H45" s="18"/>
    </row>
    <row r="47" spans="6:8" x14ac:dyDescent="0.35">
      <c r="G47" s="16" t="s">
        <v>233</v>
      </c>
    </row>
    <row r="48" spans="6:8" x14ac:dyDescent="0.35">
      <c r="G48" s="16" t="s">
        <v>234</v>
      </c>
    </row>
    <row r="49" spans="6:8" x14ac:dyDescent="0.35">
      <c r="G49" s="16" t="s">
        <v>235</v>
      </c>
    </row>
    <row r="50" spans="6:8" x14ac:dyDescent="0.35">
      <c r="F50" s="16"/>
      <c r="G50" s="16" t="s">
        <v>236</v>
      </c>
    </row>
    <row r="51" spans="6:8" x14ac:dyDescent="0.35">
      <c r="F51" s="16"/>
    </row>
    <row r="52" spans="6:8" x14ac:dyDescent="0.35">
      <c r="F52" s="16"/>
      <c r="G52" s="17" t="s">
        <v>240</v>
      </c>
      <c r="H52" s="17"/>
    </row>
    <row r="53" spans="6:8" x14ac:dyDescent="0.35">
      <c r="F53" s="16"/>
    </row>
    <row r="54" spans="6:8" x14ac:dyDescent="0.35">
      <c r="F54" s="16"/>
      <c r="G54" t="s">
        <v>241</v>
      </c>
    </row>
  </sheetData>
  <mergeCells count="7">
    <mergeCell ref="AL1:AL2"/>
    <mergeCell ref="A1:A2"/>
    <mergeCell ref="B1:B2"/>
    <mergeCell ref="AH1:AH2"/>
    <mergeCell ref="AI1:AI2"/>
    <mergeCell ref="AJ1:AJ2"/>
    <mergeCell ref="AK1:AK2"/>
  </mergeCells>
  <phoneticPr fontId="5" type="noConversion"/>
  <conditionalFormatting sqref="C3:AG3 S4:AC5 C4:R6 AD4:AG6 S6:V6 W6:AC7 R7:V8 AD7:AE8 AF7:AG11 P7:Q17 C7:O24 W8:AA8 AC8 AB8:AB11 AC9:AE11 R9:AA16 AB12:AG27 R17:X17 Y17:AA23 P18:X23 P24:AA24 C25:AA27 C28:AG29">
    <cfRule type="cellIs" dxfId="9" priority="1" operator="equal">
      <formula>1</formula>
    </cfRule>
    <cfRule type="cellIs" dxfId="8" priority="2" operator="equal">
      <formula>2</formula>
    </cfRule>
    <cfRule type="cellIs" dxfId="7" priority="3" operator="equal">
      <formula>3</formula>
    </cfRule>
    <cfRule type="cellIs" dxfId="6" priority="4" operator="equal">
      <formula>4</formula>
    </cfRule>
    <cfRule type="cellIs" dxfId="5" priority="5" operator="equal">
      <formula>5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426A-C3FA-47BA-8581-0F9456C241EC}">
  <dimension ref="A1:AL32"/>
  <sheetViews>
    <sheetView tabSelected="1" topLeftCell="A7" zoomScale="54" zoomScaleNormal="54" workbookViewId="0">
      <selection activeCell="B12" sqref="B12"/>
    </sheetView>
  </sheetViews>
  <sheetFormatPr baseColWidth="10" defaultRowHeight="14.5" x14ac:dyDescent="0.35"/>
  <cols>
    <col min="1" max="1" width="42.26953125" customWidth="1"/>
    <col min="2" max="2" width="55" customWidth="1"/>
    <col min="34" max="34" width="10" customWidth="1"/>
  </cols>
  <sheetData>
    <row r="1" spans="1:38" x14ac:dyDescent="0.35">
      <c r="A1" s="23" t="s">
        <v>207</v>
      </c>
      <c r="B1" s="23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/>
      <c r="AH1" s="21" t="s">
        <v>2</v>
      </c>
      <c r="AI1" s="21" t="s">
        <v>78</v>
      </c>
      <c r="AJ1" s="21" t="s">
        <v>79</v>
      </c>
      <c r="AK1" s="21" t="s">
        <v>153</v>
      </c>
      <c r="AL1" s="21" t="s">
        <v>154</v>
      </c>
    </row>
    <row r="2" spans="1:38" x14ac:dyDescent="0.35">
      <c r="A2" s="24"/>
      <c r="B2" s="24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247</v>
      </c>
      <c r="N2" s="2" t="s">
        <v>8</v>
      </c>
      <c r="O2" s="2" t="s">
        <v>9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3</v>
      </c>
      <c r="X2" s="2" t="s">
        <v>4</v>
      </c>
      <c r="Y2" s="2" t="s">
        <v>5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3</v>
      </c>
      <c r="AE2" s="2" t="s">
        <v>4</v>
      </c>
      <c r="AF2" s="2" t="s">
        <v>5</v>
      </c>
      <c r="AG2" s="2"/>
      <c r="AH2" s="22"/>
      <c r="AI2" s="22"/>
      <c r="AJ2" s="22"/>
      <c r="AK2" s="22"/>
      <c r="AL2" s="22"/>
    </row>
    <row r="3" spans="1:38" x14ac:dyDescent="0.35">
      <c r="A3" s="3" t="s">
        <v>158</v>
      </c>
      <c r="B3" s="4" t="s">
        <v>11</v>
      </c>
      <c r="C3" s="5">
        <v>5</v>
      </c>
      <c r="D3" s="5">
        <v>5</v>
      </c>
      <c r="E3" s="5">
        <v>4</v>
      </c>
      <c r="F3" s="5">
        <v>5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4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4</v>
      </c>
      <c r="T3" s="6">
        <v>1</v>
      </c>
      <c r="U3" s="5">
        <v>1</v>
      </c>
      <c r="V3" s="5">
        <v>1</v>
      </c>
      <c r="W3" s="5">
        <v>1</v>
      </c>
      <c r="X3" s="5" t="s">
        <v>8</v>
      </c>
      <c r="Y3" s="5"/>
      <c r="Z3" s="5"/>
      <c r="AA3" s="5" t="s">
        <v>4</v>
      </c>
      <c r="AB3" s="5" t="s">
        <v>5</v>
      </c>
      <c r="AC3" s="5"/>
      <c r="AD3" s="5"/>
      <c r="AE3" s="5"/>
      <c r="AF3" s="5"/>
      <c r="AG3" s="5"/>
      <c r="AH3" s="7">
        <f>COUNTIF(C3:AG3,"1")</f>
        <v>15</v>
      </c>
      <c r="AI3" s="8">
        <f>COUNTIF(C3:AG3,"2")</f>
        <v>0</v>
      </c>
      <c r="AJ3" s="9">
        <f>COUNTIF(C3:AG3,"3")</f>
        <v>0</v>
      </c>
      <c r="AK3" s="10">
        <f>COUNTIF(C3:AG3,"4")</f>
        <v>3</v>
      </c>
      <c r="AL3" s="11">
        <f>COUNTIF(C3:AG3,"5")</f>
        <v>3</v>
      </c>
    </row>
    <row r="4" spans="1:38" x14ac:dyDescent="0.35">
      <c r="A4" s="3" t="s">
        <v>26</v>
      </c>
      <c r="B4" s="4" t="s">
        <v>27</v>
      </c>
      <c r="C4" s="5">
        <v>4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4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6">
        <v>1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7">
        <f t="shared" ref="AH4:AH31" si="0">COUNTIF(C4:AG4,"1")</f>
        <v>19</v>
      </c>
      <c r="AI4" s="8">
        <f t="shared" ref="AI4:AI31" si="1">COUNTIF(C4:AG4,"2")</f>
        <v>0</v>
      </c>
      <c r="AJ4" s="9">
        <f t="shared" ref="AJ4:AJ31" si="2">COUNTIF(C4:AG4,"3")</f>
        <v>0</v>
      </c>
      <c r="AK4" s="10">
        <f>COUNTIF(C4:AG4,"4")</f>
        <v>2</v>
      </c>
      <c r="AL4" s="11">
        <f t="shared" ref="AL4:AL31" si="3">COUNTIF(C4:AG4,"5")</f>
        <v>0</v>
      </c>
    </row>
    <row r="5" spans="1:38" x14ac:dyDescent="0.35">
      <c r="A5" s="3" t="s">
        <v>18</v>
      </c>
      <c r="B5" s="4" t="s">
        <v>166</v>
      </c>
      <c r="C5" s="5">
        <v>4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3</v>
      </c>
      <c r="J5" s="5">
        <v>1</v>
      </c>
      <c r="K5" s="5">
        <v>1</v>
      </c>
      <c r="L5" s="5">
        <v>2</v>
      </c>
      <c r="M5" s="5">
        <v>1</v>
      </c>
      <c r="N5" s="5">
        <v>1</v>
      </c>
      <c r="O5" s="5">
        <v>2</v>
      </c>
      <c r="P5" s="5">
        <v>3</v>
      </c>
      <c r="Q5" s="5">
        <v>4</v>
      </c>
      <c r="R5" s="5">
        <v>1</v>
      </c>
      <c r="S5" s="5">
        <v>1</v>
      </c>
      <c r="T5" s="5">
        <v>1</v>
      </c>
      <c r="U5" s="5">
        <v>1</v>
      </c>
      <c r="V5" s="5">
        <v>3</v>
      </c>
      <c r="W5" s="5">
        <v>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7">
        <f t="shared" si="0"/>
        <v>14</v>
      </c>
      <c r="AI5" s="8">
        <f t="shared" si="1"/>
        <v>2</v>
      </c>
      <c r="AJ5" s="9">
        <f t="shared" si="2"/>
        <v>3</v>
      </c>
      <c r="AK5" s="10">
        <f>COUNTIF(C5:AG5,"4")</f>
        <v>2</v>
      </c>
      <c r="AL5" s="11">
        <f t="shared" si="3"/>
        <v>0</v>
      </c>
    </row>
    <row r="6" spans="1:38" x14ac:dyDescent="0.35">
      <c r="A6" s="3" t="s">
        <v>223</v>
      </c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7">
        <f t="shared" si="0"/>
        <v>0</v>
      </c>
      <c r="AI6" s="8">
        <f t="shared" si="1"/>
        <v>0</v>
      </c>
      <c r="AJ6" s="9">
        <f t="shared" si="2"/>
        <v>0</v>
      </c>
      <c r="AK6" s="10">
        <f t="shared" ref="AK6:AK10" si="4">COUNTIF(C6:AG6,"4")</f>
        <v>0</v>
      </c>
      <c r="AL6" s="11">
        <f t="shared" si="3"/>
        <v>0</v>
      </c>
    </row>
    <row r="7" spans="1:38" ht="16.5" customHeight="1" x14ac:dyDescent="0.35">
      <c r="A7" s="3" t="s">
        <v>223</v>
      </c>
      <c r="B7" s="4" t="s">
        <v>246</v>
      </c>
      <c r="C7" s="5">
        <v>4</v>
      </c>
      <c r="D7" s="5">
        <v>3</v>
      </c>
      <c r="E7" s="5">
        <v>1</v>
      </c>
      <c r="F7" s="5">
        <v>1</v>
      </c>
      <c r="G7" s="5">
        <v>2</v>
      </c>
      <c r="H7" s="5">
        <v>2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7">
        <f t="shared" si="0"/>
        <v>2</v>
      </c>
      <c r="AI7" s="8">
        <f t="shared" si="1"/>
        <v>2</v>
      </c>
      <c r="AJ7" s="9">
        <f t="shared" si="2"/>
        <v>1</v>
      </c>
      <c r="AK7" s="10">
        <f t="shared" si="4"/>
        <v>1</v>
      </c>
      <c r="AL7" s="11">
        <f t="shared" si="3"/>
        <v>0</v>
      </c>
    </row>
    <row r="8" spans="1:38" x14ac:dyDescent="0.35">
      <c r="A8" s="3" t="s">
        <v>208</v>
      </c>
      <c r="B8" s="14" t="s">
        <v>40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4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4</v>
      </c>
      <c r="S8" s="5">
        <v>5</v>
      </c>
      <c r="T8" s="6">
        <v>5</v>
      </c>
      <c r="U8" s="5">
        <v>5</v>
      </c>
      <c r="V8" s="5">
        <v>5</v>
      </c>
      <c r="W8" s="5">
        <v>5</v>
      </c>
      <c r="X8" s="5">
        <v>5</v>
      </c>
      <c r="Y8" s="5">
        <v>4</v>
      </c>
      <c r="Z8" s="6">
        <v>5</v>
      </c>
      <c r="AA8" s="5"/>
      <c r="AB8" s="5"/>
      <c r="AC8" s="5"/>
      <c r="AD8" s="5"/>
      <c r="AE8" s="5"/>
      <c r="AF8" s="5"/>
      <c r="AG8" s="5"/>
      <c r="AH8" s="7">
        <f t="shared" si="0"/>
        <v>14</v>
      </c>
      <c r="AI8" s="8">
        <f t="shared" si="1"/>
        <v>0</v>
      </c>
      <c r="AJ8" s="9">
        <f t="shared" si="2"/>
        <v>0</v>
      </c>
      <c r="AK8" s="10">
        <f t="shared" si="4"/>
        <v>3</v>
      </c>
      <c r="AL8" s="11">
        <f t="shared" si="3"/>
        <v>7</v>
      </c>
    </row>
    <row r="9" spans="1:38" x14ac:dyDescent="0.35">
      <c r="A9" s="3" t="s">
        <v>35</v>
      </c>
      <c r="B9" s="4" t="s">
        <v>204</v>
      </c>
      <c r="C9" s="5">
        <v>4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4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4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7">
        <f t="shared" si="0"/>
        <v>18</v>
      </c>
      <c r="AI9" s="8">
        <f t="shared" si="1"/>
        <v>0</v>
      </c>
      <c r="AJ9" s="9">
        <f t="shared" si="2"/>
        <v>0</v>
      </c>
      <c r="AK9" s="10">
        <f t="shared" si="4"/>
        <v>3</v>
      </c>
      <c r="AL9" s="11">
        <f t="shared" si="3"/>
        <v>0</v>
      </c>
    </row>
    <row r="10" spans="1:38" x14ac:dyDescent="0.35">
      <c r="A10" s="3" t="s">
        <v>248</v>
      </c>
      <c r="B10" s="20" t="s">
        <v>251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1</v>
      </c>
      <c r="N10" s="5">
        <v>3</v>
      </c>
      <c r="O10" s="5">
        <v>3</v>
      </c>
      <c r="P10" s="5">
        <v>1</v>
      </c>
      <c r="Q10" s="5">
        <v>4</v>
      </c>
      <c r="R10" s="5">
        <v>3</v>
      </c>
      <c r="S10" s="5">
        <v>3</v>
      </c>
      <c r="T10" s="5">
        <v>1</v>
      </c>
      <c r="U10" s="5">
        <v>3</v>
      </c>
      <c r="V10" s="5">
        <v>3</v>
      </c>
      <c r="W10" s="5">
        <v>3</v>
      </c>
      <c r="X10" s="5"/>
      <c r="Y10" s="5"/>
      <c r="Z10" s="5"/>
      <c r="AA10" s="5"/>
      <c r="AB10" s="5"/>
      <c r="AC10" s="5"/>
      <c r="AD10" s="5"/>
      <c r="AE10" s="5"/>
      <c r="AF10" s="6"/>
      <c r="AG10" s="5"/>
      <c r="AH10" s="7">
        <f t="shared" si="0"/>
        <v>3</v>
      </c>
      <c r="AI10" s="8">
        <f t="shared" si="1"/>
        <v>0</v>
      </c>
      <c r="AJ10" s="9">
        <f t="shared" si="2"/>
        <v>7</v>
      </c>
      <c r="AK10" s="10">
        <f t="shared" si="4"/>
        <v>1</v>
      </c>
      <c r="AL10" s="11">
        <f t="shared" si="3"/>
        <v>0</v>
      </c>
    </row>
    <row r="11" spans="1:38" x14ac:dyDescent="0.35">
      <c r="A11" s="3" t="s">
        <v>209</v>
      </c>
      <c r="B11" s="4" t="s">
        <v>213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4</v>
      </c>
      <c r="I11" s="5">
        <v>1</v>
      </c>
      <c r="J11" s="5">
        <v>4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4</v>
      </c>
      <c r="W11" s="5">
        <v>1</v>
      </c>
      <c r="X11" s="5"/>
      <c r="Y11" s="5"/>
      <c r="Z11" s="5"/>
      <c r="AA11" s="5"/>
      <c r="AB11" s="5"/>
      <c r="AC11" s="5"/>
      <c r="AD11" s="5"/>
      <c r="AE11" s="5"/>
      <c r="AF11" s="6"/>
      <c r="AG11" s="5"/>
      <c r="AH11" s="7">
        <f t="shared" si="0"/>
        <v>18</v>
      </c>
      <c r="AI11" s="8">
        <f t="shared" si="1"/>
        <v>0</v>
      </c>
      <c r="AJ11" s="9">
        <f t="shared" si="2"/>
        <v>0</v>
      </c>
      <c r="AK11" s="10">
        <f t="shared" ref="AK11:AK31" si="5">COUNTIF(C11:AG11,"4")</f>
        <v>3</v>
      </c>
      <c r="AL11" s="11">
        <f t="shared" si="3"/>
        <v>0</v>
      </c>
    </row>
    <row r="12" spans="1:38" x14ac:dyDescent="0.35">
      <c r="A12" s="3" t="s">
        <v>20</v>
      </c>
      <c r="B12" s="4" t="s">
        <v>179</v>
      </c>
      <c r="C12" s="5">
        <v>4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4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4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7">
        <f t="shared" si="0"/>
        <v>18</v>
      </c>
      <c r="AI12" s="8">
        <f t="shared" si="1"/>
        <v>0</v>
      </c>
      <c r="AJ12" s="9">
        <f t="shared" si="2"/>
        <v>0</v>
      </c>
      <c r="AK12" s="10">
        <f t="shared" si="5"/>
        <v>3</v>
      </c>
      <c r="AL12" s="11">
        <f t="shared" si="3"/>
        <v>0</v>
      </c>
    </row>
    <row r="13" spans="1:38" x14ac:dyDescent="0.35">
      <c r="A13" s="3" t="s">
        <v>69</v>
      </c>
      <c r="B13" s="4" t="s">
        <v>140</v>
      </c>
      <c r="C13" s="5">
        <v>4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4</v>
      </c>
      <c r="K13" s="5">
        <v>1</v>
      </c>
      <c r="L13" s="5">
        <v>1</v>
      </c>
      <c r="M13" s="5">
        <v>1</v>
      </c>
      <c r="N13" s="5">
        <v>2</v>
      </c>
      <c r="O13" s="5">
        <v>1</v>
      </c>
      <c r="P13" s="5">
        <v>1</v>
      </c>
      <c r="Q13" s="5">
        <v>4</v>
      </c>
      <c r="R13" s="5">
        <v>1</v>
      </c>
      <c r="S13" s="5">
        <v>1</v>
      </c>
      <c r="T13" s="5">
        <v>1</v>
      </c>
      <c r="U13" s="5">
        <v>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7">
        <f t="shared" si="0"/>
        <v>15</v>
      </c>
      <c r="AI13" s="8">
        <f t="shared" si="1"/>
        <v>1</v>
      </c>
      <c r="AJ13" s="9">
        <f t="shared" si="2"/>
        <v>0</v>
      </c>
      <c r="AK13" s="10">
        <f t="shared" si="5"/>
        <v>3</v>
      </c>
      <c r="AL13" s="11">
        <f t="shared" si="3"/>
        <v>0</v>
      </c>
    </row>
    <row r="14" spans="1:38" x14ac:dyDescent="0.35">
      <c r="A14" s="3" t="s">
        <v>250</v>
      </c>
      <c r="B14" s="4" t="s">
        <v>214</v>
      </c>
      <c r="C14" s="5">
        <v>4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4</v>
      </c>
      <c r="K14" s="5">
        <v>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7">
        <f t="shared" si="0"/>
        <v>7</v>
      </c>
      <c r="AI14" s="8">
        <f t="shared" si="1"/>
        <v>0</v>
      </c>
      <c r="AJ14" s="9">
        <f t="shared" si="2"/>
        <v>0</v>
      </c>
      <c r="AK14" s="10">
        <f t="shared" si="5"/>
        <v>2</v>
      </c>
      <c r="AL14" s="11">
        <f t="shared" si="3"/>
        <v>0</v>
      </c>
    </row>
    <row r="15" spans="1:38" x14ac:dyDescent="0.35">
      <c r="A15" s="3" t="s">
        <v>23</v>
      </c>
      <c r="B15" s="4" t="s">
        <v>100</v>
      </c>
      <c r="C15" s="5">
        <v>4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4</v>
      </c>
      <c r="J15" s="5">
        <v>1</v>
      </c>
      <c r="K15" s="5">
        <v>1</v>
      </c>
      <c r="L15" s="5">
        <v>3</v>
      </c>
      <c r="M15" s="5">
        <v>3</v>
      </c>
      <c r="N15" s="5">
        <v>3</v>
      </c>
      <c r="O15" s="5">
        <v>5</v>
      </c>
      <c r="P15" s="5">
        <v>1</v>
      </c>
      <c r="Q15" s="5">
        <v>4</v>
      </c>
      <c r="R15" s="5">
        <v>1</v>
      </c>
      <c r="S15" s="5">
        <v>3</v>
      </c>
      <c r="T15" s="5">
        <v>3</v>
      </c>
      <c r="U15" s="5">
        <v>3</v>
      </c>
      <c r="V15" s="5">
        <v>1</v>
      </c>
      <c r="W15" s="5">
        <v>1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7">
        <f t="shared" si="0"/>
        <v>11</v>
      </c>
      <c r="AI15" s="8">
        <f t="shared" si="1"/>
        <v>0</v>
      </c>
      <c r="AJ15" s="9">
        <f t="shared" si="2"/>
        <v>6</v>
      </c>
      <c r="AK15" s="10">
        <f t="shared" si="5"/>
        <v>3</v>
      </c>
      <c r="AL15" s="11">
        <f t="shared" si="3"/>
        <v>1</v>
      </c>
    </row>
    <row r="16" spans="1:38" x14ac:dyDescent="0.35">
      <c r="A16" s="3" t="s">
        <v>23</v>
      </c>
      <c r="B16" s="4" t="s">
        <v>225</v>
      </c>
      <c r="C16" s="5">
        <v>4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4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4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7">
        <f t="shared" si="0"/>
        <v>18</v>
      </c>
      <c r="AI16" s="8">
        <f t="shared" si="1"/>
        <v>0</v>
      </c>
      <c r="AJ16" s="9">
        <f t="shared" si="2"/>
        <v>0</v>
      </c>
      <c r="AK16" s="10">
        <f t="shared" si="5"/>
        <v>3</v>
      </c>
      <c r="AL16" s="11">
        <f t="shared" si="3"/>
        <v>0</v>
      </c>
    </row>
    <row r="17" spans="1:38" x14ac:dyDescent="0.35">
      <c r="A17" s="3" t="s">
        <v>143</v>
      </c>
      <c r="B17" s="4" t="s">
        <v>252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1</v>
      </c>
      <c r="S17" s="5">
        <v>1</v>
      </c>
      <c r="T17" s="6">
        <v>1</v>
      </c>
      <c r="U17" s="5">
        <v>1</v>
      </c>
      <c r="V17" s="5">
        <v>1</v>
      </c>
      <c r="W17" s="5">
        <v>1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7">
        <f t="shared" si="0"/>
        <v>6</v>
      </c>
      <c r="AI17" s="8">
        <f t="shared" si="1"/>
        <v>0</v>
      </c>
      <c r="AJ17" s="9">
        <f t="shared" si="2"/>
        <v>0</v>
      </c>
      <c r="AK17" s="10">
        <f t="shared" si="5"/>
        <v>0</v>
      </c>
      <c r="AL17" s="11">
        <f t="shared" si="3"/>
        <v>0</v>
      </c>
    </row>
    <row r="18" spans="1:38" x14ac:dyDescent="0.35">
      <c r="A18" s="3" t="s">
        <v>143</v>
      </c>
      <c r="B18" s="4" t="s">
        <v>244</v>
      </c>
      <c r="C18" s="5">
        <v>5</v>
      </c>
      <c r="D18" s="5">
        <v>1</v>
      </c>
      <c r="E18" s="5">
        <v>1</v>
      </c>
      <c r="F18" s="5">
        <v>1</v>
      </c>
      <c r="G18" s="5">
        <v>2</v>
      </c>
      <c r="H18" s="5">
        <v>4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2</v>
      </c>
      <c r="O18" s="5">
        <v>1</v>
      </c>
      <c r="P18" s="5">
        <v>1</v>
      </c>
      <c r="Q18" s="5">
        <v>4</v>
      </c>
      <c r="R18" s="5">
        <v>1</v>
      </c>
      <c r="S18" s="5">
        <v>1</v>
      </c>
      <c r="T18" s="5">
        <v>1</v>
      </c>
      <c r="U18" s="5">
        <v>1</v>
      </c>
      <c r="V18" s="5">
        <v>4</v>
      </c>
      <c r="W18" s="5">
        <v>1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7">
        <f t="shared" si="0"/>
        <v>15</v>
      </c>
      <c r="AI18" s="8">
        <f t="shared" si="1"/>
        <v>2</v>
      </c>
      <c r="AJ18" s="9">
        <f t="shared" si="2"/>
        <v>0</v>
      </c>
      <c r="AK18" s="10">
        <f t="shared" si="5"/>
        <v>3</v>
      </c>
      <c r="AL18" s="11">
        <f t="shared" si="3"/>
        <v>1</v>
      </c>
    </row>
    <row r="19" spans="1:38" x14ac:dyDescent="0.35">
      <c r="A19" s="3" t="s">
        <v>160</v>
      </c>
      <c r="B19" s="4" t="s">
        <v>222</v>
      </c>
      <c r="C19" s="5">
        <v>4</v>
      </c>
      <c r="D19" s="5">
        <v>1</v>
      </c>
      <c r="E19" s="5">
        <v>1</v>
      </c>
      <c r="F19" s="5">
        <v>1</v>
      </c>
      <c r="G19" s="5">
        <v>3</v>
      </c>
      <c r="H19" s="5">
        <v>3</v>
      </c>
      <c r="I19" s="5">
        <v>1</v>
      </c>
      <c r="J19" s="5">
        <v>1</v>
      </c>
      <c r="K19" s="5">
        <v>4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4</v>
      </c>
      <c r="R19" s="5">
        <v>1</v>
      </c>
      <c r="S19" s="5">
        <v>1</v>
      </c>
      <c r="T19" s="5">
        <v>1</v>
      </c>
      <c r="U19" s="5">
        <v>1</v>
      </c>
      <c r="V19" s="6">
        <v>1</v>
      </c>
      <c r="W19" s="5">
        <v>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7">
        <f t="shared" si="0"/>
        <v>16</v>
      </c>
      <c r="AI19" s="8">
        <f t="shared" si="1"/>
        <v>0</v>
      </c>
      <c r="AJ19" s="9">
        <f t="shared" si="2"/>
        <v>2</v>
      </c>
      <c r="AK19" s="10">
        <f t="shared" si="5"/>
        <v>3</v>
      </c>
      <c r="AL19" s="11">
        <f t="shared" si="3"/>
        <v>0</v>
      </c>
    </row>
    <row r="20" spans="1:38" x14ac:dyDescent="0.35">
      <c r="A20" s="3" t="s">
        <v>210</v>
      </c>
      <c r="B20" s="4" t="s">
        <v>221</v>
      </c>
      <c r="C20" s="5">
        <v>4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4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4</v>
      </c>
      <c r="R20" s="5">
        <v>1</v>
      </c>
      <c r="S20" s="6">
        <v>1</v>
      </c>
      <c r="T20" s="5">
        <v>1</v>
      </c>
      <c r="U20" s="5">
        <v>1</v>
      </c>
      <c r="V20" s="5">
        <v>1</v>
      </c>
      <c r="W20" s="6">
        <v>1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7">
        <f t="shared" si="0"/>
        <v>18</v>
      </c>
      <c r="AI20" s="8">
        <f t="shared" si="1"/>
        <v>0</v>
      </c>
      <c r="AJ20" s="9">
        <f t="shared" si="2"/>
        <v>0</v>
      </c>
      <c r="AK20" s="10">
        <f t="shared" si="5"/>
        <v>3</v>
      </c>
      <c r="AL20" s="11">
        <f t="shared" si="3"/>
        <v>0</v>
      </c>
    </row>
    <row r="21" spans="1:38" x14ac:dyDescent="0.35">
      <c r="A21" s="3" t="s">
        <v>24</v>
      </c>
      <c r="B21" s="4" t="s">
        <v>25</v>
      </c>
      <c r="C21" s="5">
        <v>4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4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4</v>
      </c>
      <c r="T21" s="5">
        <v>1</v>
      </c>
      <c r="U21" s="5">
        <v>1</v>
      </c>
      <c r="V21" s="5">
        <v>1</v>
      </c>
      <c r="W21" s="5">
        <v>1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7">
        <f t="shared" si="0"/>
        <v>18</v>
      </c>
      <c r="AI21" s="8">
        <f t="shared" si="1"/>
        <v>0</v>
      </c>
      <c r="AJ21" s="9">
        <f t="shared" si="2"/>
        <v>0</v>
      </c>
      <c r="AK21" s="10">
        <f t="shared" si="5"/>
        <v>3</v>
      </c>
      <c r="AL21" s="11">
        <f t="shared" si="3"/>
        <v>0</v>
      </c>
    </row>
    <row r="22" spans="1:38" x14ac:dyDescent="0.35">
      <c r="A22" s="3" t="s">
        <v>245</v>
      </c>
      <c r="B22" s="4" t="s">
        <v>249</v>
      </c>
      <c r="C22" s="5">
        <v>4</v>
      </c>
      <c r="D22" s="5">
        <v>1</v>
      </c>
      <c r="E22" s="5"/>
      <c r="F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7">
        <f t="shared" si="0"/>
        <v>1</v>
      </c>
      <c r="AI22" s="8">
        <f t="shared" si="1"/>
        <v>0</v>
      </c>
      <c r="AJ22" s="9">
        <f t="shared" si="2"/>
        <v>0</v>
      </c>
      <c r="AK22" s="10">
        <f t="shared" si="5"/>
        <v>1</v>
      </c>
      <c r="AL22" s="11">
        <f t="shared" si="3"/>
        <v>0</v>
      </c>
    </row>
    <row r="23" spans="1:38" x14ac:dyDescent="0.35">
      <c r="A23" s="3" t="s">
        <v>32</v>
      </c>
      <c r="B23" s="4" t="s">
        <v>215</v>
      </c>
      <c r="C23" s="5">
        <v>4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4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5">
        <v>4</v>
      </c>
      <c r="R23" s="5">
        <v>1</v>
      </c>
      <c r="S23" s="6">
        <v>1</v>
      </c>
      <c r="T23" s="5">
        <v>1</v>
      </c>
      <c r="U23" s="5">
        <v>1</v>
      </c>
      <c r="V23" s="5">
        <v>1</v>
      </c>
      <c r="W23" s="5">
        <v>1</v>
      </c>
      <c r="X23" s="5"/>
      <c r="Y23" s="6"/>
      <c r="Z23" s="5"/>
      <c r="AA23" s="5"/>
      <c r="AB23" s="5"/>
      <c r="AC23" s="5"/>
      <c r="AD23" s="5"/>
      <c r="AE23" s="5"/>
      <c r="AF23" s="5"/>
      <c r="AG23" s="5"/>
      <c r="AH23" s="7">
        <f t="shared" si="0"/>
        <v>18</v>
      </c>
      <c r="AI23" s="8">
        <f t="shared" si="1"/>
        <v>0</v>
      </c>
      <c r="AJ23" s="9">
        <f t="shared" si="2"/>
        <v>0</v>
      </c>
      <c r="AK23" s="10">
        <f t="shared" si="5"/>
        <v>3</v>
      </c>
      <c r="AL23" s="11">
        <f t="shared" si="3"/>
        <v>0</v>
      </c>
    </row>
    <row r="24" spans="1:38" x14ac:dyDescent="0.35">
      <c r="A24" s="3" t="s">
        <v>211</v>
      </c>
      <c r="B24" s="14" t="s">
        <v>17</v>
      </c>
      <c r="C24" s="5">
        <v>4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4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4</v>
      </c>
      <c r="R24" s="5">
        <v>4</v>
      </c>
      <c r="S24" s="5">
        <v>5</v>
      </c>
      <c r="T24" s="6">
        <v>1</v>
      </c>
      <c r="U24" s="5">
        <v>1</v>
      </c>
      <c r="V24" s="5">
        <v>1</v>
      </c>
      <c r="W24" s="5">
        <v>1</v>
      </c>
      <c r="X24" s="5"/>
      <c r="Y24" s="5"/>
      <c r="Z24" s="5"/>
      <c r="AA24" s="5"/>
      <c r="AB24" s="5"/>
      <c r="AC24" s="5"/>
      <c r="AD24" s="6"/>
      <c r="AE24" s="5"/>
      <c r="AF24" s="5"/>
      <c r="AG24" s="5"/>
      <c r="AH24" s="7">
        <f t="shared" si="0"/>
        <v>16</v>
      </c>
      <c r="AI24" s="8">
        <f t="shared" si="1"/>
        <v>0</v>
      </c>
      <c r="AJ24" s="9">
        <f t="shared" si="2"/>
        <v>0</v>
      </c>
      <c r="AK24" s="10">
        <f t="shared" si="5"/>
        <v>4</v>
      </c>
      <c r="AL24" s="11">
        <f t="shared" si="3"/>
        <v>1</v>
      </c>
    </row>
    <row r="25" spans="1:38" x14ac:dyDescent="0.35">
      <c r="A25" s="3" t="s">
        <v>212</v>
      </c>
      <c r="B25" s="4" t="s">
        <v>38</v>
      </c>
      <c r="C25" s="5">
        <v>1</v>
      </c>
      <c r="D25" s="5">
        <v>4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4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4</v>
      </c>
      <c r="R25" s="5">
        <v>1</v>
      </c>
      <c r="S25" s="5">
        <v>1</v>
      </c>
      <c r="T25" s="5">
        <v>1</v>
      </c>
      <c r="U25" s="5">
        <v>1</v>
      </c>
      <c r="V25" s="6">
        <v>1</v>
      </c>
      <c r="W25" s="5">
        <v>1</v>
      </c>
      <c r="X25" s="5"/>
      <c r="Y25" s="6"/>
      <c r="Z25" s="5"/>
      <c r="AA25" s="5"/>
      <c r="AB25" s="5"/>
      <c r="AC25" s="5"/>
      <c r="AD25" s="5"/>
      <c r="AE25" s="5"/>
      <c r="AF25" s="5"/>
      <c r="AG25" s="5"/>
      <c r="AH25" s="7">
        <f t="shared" si="0"/>
        <v>18</v>
      </c>
      <c r="AI25" s="8">
        <f t="shared" si="1"/>
        <v>0</v>
      </c>
      <c r="AJ25" s="9">
        <f t="shared" si="2"/>
        <v>0</v>
      </c>
      <c r="AK25" s="10">
        <f t="shared" si="5"/>
        <v>3</v>
      </c>
      <c r="AL25" s="11">
        <f t="shared" si="3"/>
        <v>0</v>
      </c>
    </row>
    <row r="26" spans="1:38" x14ac:dyDescent="0.35">
      <c r="A26" s="3" t="s">
        <v>21</v>
      </c>
      <c r="B26" s="4" t="s">
        <v>124</v>
      </c>
      <c r="C26" s="5">
        <v>1</v>
      </c>
      <c r="D26" s="5">
        <v>4</v>
      </c>
      <c r="E26" s="5">
        <v>1</v>
      </c>
      <c r="F26" s="5">
        <v>1</v>
      </c>
      <c r="G26" s="5">
        <v>1</v>
      </c>
      <c r="H26" s="5">
        <v>1</v>
      </c>
      <c r="I26" s="5">
        <v>1</v>
      </c>
      <c r="J26" s="5">
        <v>4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6">
        <v>1</v>
      </c>
      <c r="Q26" s="5">
        <v>4</v>
      </c>
      <c r="R26" s="5">
        <v>2</v>
      </c>
      <c r="S26" s="5">
        <v>1</v>
      </c>
      <c r="T26" s="5">
        <v>1</v>
      </c>
      <c r="U26" s="5">
        <v>1</v>
      </c>
      <c r="V26" s="5">
        <v>1</v>
      </c>
      <c r="W26" s="5">
        <v>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7">
        <f t="shared" si="0"/>
        <v>17</v>
      </c>
      <c r="AI26" s="8">
        <f t="shared" si="1"/>
        <v>1</v>
      </c>
      <c r="AJ26" s="9">
        <f t="shared" si="2"/>
        <v>0</v>
      </c>
      <c r="AK26" s="10">
        <f t="shared" si="5"/>
        <v>3</v>
      </c>
      <c r="AL26" s="11">
        <f t="shared" si="3"/>
        <v>0</v>
      </c>
    </row>
    <row r="27" spans="1:38" x14ac:dyDescent="0.35">
      <c r="A27" s="3" t="s">
        <v>28</v>
      </c>
      <c r="B27" s="4" t="s">
        <v>198</v>
      </c>
      <c r="C27" s="5">
        <v>4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1</v>
      </c>
      <c r="J27" s="5">
        <v>4</v>
      </c>
      <c r="K27" s="5">
        <v>1</v>
      </c>
      <c r="L27" s="5">
        <v>1</v>
      </c>
      <c r="M27" s="5">
        <v>1</v>
      </c>
      <c r="N27" s="5">
        <v>1</v>
      </c>
      <c r="O27" s="5">
        <v>1</v>
      </c>
      <c r="P27" s="5">
        <v>1</v>
      </c>
      <c r="Q27" s="5">
        <v>4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7">
        <f t="shared" si="0"/>
        <v>18</v>
      </c>
      <c r="AI27" s="8">
        <f t="shared" si="1"/>
        <v>0</v>
      </c>
      <c r="AJ27" s="9">
        <f t="shared" si="2"/>
        <v>0</v>
      </c>
      <c r="AK27" s="10">
        <f t="shared" si="5"/>
        <v>3</v>
      </c>
      <c r="AL27" s="11">
        <f t="shared" si="3"/>
        <v>0</v>
      </c>
    </row>
    <row r="28" spans="1:38" x14ac:dyDescent="0.35">
      <c r="A28" s="4" t="s">
        <v>195</v>
      </c>
      <c r="B28" s="4" t="s">
        <v>203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4</v>
      </c>
      <c r="I28" s="5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5">
        <v>4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>
        <v>4</v>
      </c>
      <c r="W28" s="5">
        <v>1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7">
        <f t="shared" si="0"/>
        <v>18</v>
      </c>
      <c r="AI28" s="8">
        <f t="shared" si="1"/>
        <v>0</v>
      </c>
      <c r="AJ28" s="9">
        <f t="shared" si="2"/>
        <v>0</v>
      </c>
      <c r="AK28" s="10">
        <f t="shared" si="5"/>
        <v>3</v>
      </c>
      <c r="AL28" s="11">
        <f t="shared" si="3"/>
        <v>0</v>
      </c>
    </row>
    <row r="29" spans="1:38" x14ac:dyDescent="0.35">
      <c r="A29" s="4" t="s">
        <v>195</v>
      </c>
      <c r="B29" s="4" t="s">
        <v>41</v>
      </c>
      <c r="C29" s="5">
        <v>1</v>
      </c>
      <c r="D29" s="5">
        <v>1</v>
      </c>
      <c r="E29" s="5">
        <v>1</v>
      </c>
      <c r="F29" s="5">
        <v>1</v>
      </c>
      <c r="G29" s="5">
        <v>1</v>
      </c>
      <c r="H29" s="5">
        <v>4</v>
      </c>
      <c r="I29" s="5">
        <v>1</v>
      </c>
      <c r="J29" s="5">
        <v>1</v>
      </c>
      <c r="K29" s="5">
        <v>1</v>
      </c>
      <c r="L29" s="5">
        <v>1</v>
      </c>
      <c r="M29" s="5">
        <v>1</v>
      </c>
      <c r="N29" s="6">
        <v>1</v>
      </c>
      <c r="O29" s="6">
        <v>4</v>
      </c>
      <c r="P29" s="5">
        <v>1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  <c r="V29" s="5">
        <v>4</v>
      </c>
      <c r="W29" s="6">
        <v>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7">
        <f t="shared" si="0"/>
        <v>18</v>
      </c>
      <c r="AI29" s="8">
        <f t="shared" si="1"/>
        <v>0</v>
      </c>
      <c r="AJ29" s="9">
        <f t="shared" si="2"/>
        <v>0</v>
      </c>
      <c r="AK29" s="10">
        <f t="shared" si="5"/>
        <v>3</v>
      </c>
      <c r="AL29" s="11">
        <f t="shared" si="3"/>
        <v>0</v>
      </c>
    </row>
    <row r="30" spans="1:38" x14ac:dyDescent="0.35">
      <c r="A30" s="4" t="s">
        <v>181</v>
      </c>
      <c r="B30" s="4" t="s">
        <v>219</v>
      </c>
      <c r="C30" s="5">
        <v>1</v>
      </c>
      <c r="D30" s="5">
        <v>1</v>
      </c>
      <c r="E30" s="5">
        <v>1</v>
      </c>
      <c r="F30" s="5">
        <v>1</v>
      </c>
      <c r="G30" s="5">
        <v>1</v>
      </c>
      <c r="H30" s="5">
        <v>4</v>
      </c>
      <c r="I30" s="5">
        <v>1</v>
      </c>
      <c r="J30" s="5">
        <v>1</v>
      </c>
      <c r="K30" s="5">
        <v>1</v>
      </c>
      <c r="L30" s="5">
        <v>1</v>
      </c>
      <c r="M30" s="5">
        <v>1</v>
      </c>
      <c r="N30" s="5">
        <v>1</v>
      </c>
      <c r="O30" s="5">
        <v>4</v>
      </c>
      <c r="P30" s="5">
        <v>1</v>
      </c>
      <c r="Q30" s="5">
        <v>1</v>
      </c>
      <c r="R30" s="5">
        <v>1</v>
      </c>
      <c r="S30" s="5">
        <v>1</v>
      </c>
      <c r="T30" s="5">
        <v>1</v>
      </c>
      <c r="U30" s="6">
        <v>1</v>
      </c>
      <c r="V30" s="5">
        <v>4</v>
      </c>
      <c r="W30" s="5">
        <v>1</v>
      </c>
      <c r="X30" s="5"/>
      <c r="Y30" s="5"/>
      <c r="Z30" s="5"/>
      <c r="AA30" s="5"/>
      <c r="AB30" s="5"/>
      <c r="AC30" s="5"/>
      <c r="AD30" s="5"/>
      <c r="AE30" s="6"/>
      <c r="AF30" s="5"/>
      <c r="AG30" s="5"/>
      <c r="AH30" s="7">
        <f t="shared" si="0"/>
        <v>18</v>
      </c>
      <c r="AI30" s="8">
        <f t="shared" si="1"/>
        <v>0</v>
      </c>
      <c r="AJ30" s="9">
        <f t="shared" si="2"/>
        <v>0</v>
      </c>
      <c r="AK30" s="10">
        <f t="shared" si="5"/>
        <v>3</v>
      </c>
      <c r="AL30" s="11">
        <f t="shared" si="3"/>
        <v>0</v>
      </c>
    </row>
    <row r="31" spans="1:38" x14ac:dyDescent="0.35">
      <c r="A31" s="4" t="s">
        <v>145</v>
      </c>
      <c r="B31" s="4" t="s">
        <v>43</v>
      </c>
      <c r="C31" s="6">
        <v>1</v>
      </c>
      <c r="D31" s="5">
        <v>1</v>
      </c>
      <c r="E31" s="5">
        <v>1</v>
      </c>
      <c r="F31" s="5">
        <v>1</v>
      </c>
      <c r="G31" s="5">
        <v>1</v>
      </c>
      <c r="H31" s="5">
        <v>4</v>
      </c>
      <c r="I31" s="5">
        <v>1</v>
      </c>
      <c r="J31" s="5">
        <v>1</v>
      </c>
      <c r="K31" s="6">
        <v>1</v>
      </c>
      <c r="L31" s="5">
        <v>1</v>
      </c>
      <c r="M31" s="5">
        <v>1</v>
      </c>
      <c r="N31" s="5">
        <v>1</v>
      </c>
      <c r="O31" s="6">
        <v>4</v>
      </c>
      <c r="P31" s="5">
        <v>1</v>
      </c>
      <c r="Q31" s="5">
        <v>4</v>
      </c>
      <c r="R31" s="5">
        <v>1</v>
      </c>
      <c r="S31" s="6">
        <v>1</v>
      </c>
      <c r="T31" s="6">
        <v>1</v>
      </c>
      <c r="U31" s="5">
        <v>1</v>
      </c>
      <c r="V31" s="5">
        <v>4</v>
      </c>
      <c r="W31" s="5">
        <v>3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7">
        <f t="shared" si="0"/>
        <v>16</v>
      </c>
      <c r="AI31" s="8">
        <f t="shared" si="1"/>
        <v>0</v>
      </c>
      <c r="AJ31" s="9">
        <f t="shared" si="2"/>
        <v>1</v>
      </c>
      <c r="AK31" s="10">
        <f t="shared" si="5"/>
        <v>4</v>
      </c>
      <c r="AL31" s="11">
        <f t="shared" si="3"/>
        <v>0</v>
      </c>
    </row>
    <row r="32" spans="1:38" x14ac:dyDescent="0.35">
      <c r="A32" s="4" t="s">
        <v>145</v>
      </c>
      <c r="B32" s="4" t="s">
        <v>146</v>
      </c>
      <c r="C32" s="5">
        <v>1</v>
      </c>
      <c r="D32" s="5">
        <v>1</v>
      </c>
      <c r="E32" s="5">
        <v>1</v>
      </c>
      <c r="F32" s="5">
        <v>1</v>
      </c>
      <c r="G32" s="5">
        <v>1</v>
      </c>
      <c r="H32" s="5">
        <v>4</v>
      </c>
      <c r="I32" s="5">
        <v>1</v>
      </c>
      <c r="J32" s="5">
        <v>1</v>
      </c>
      <c r="K32" s="5">
        <v>1</v>
      </c>
      <c r="L32" s="5">
        <v>1</v>
      </c>
      <c r="M32" s="5">
        <v>1</v>
      </c>
      <c r="N32" s="5">
        <v>1</v>
      </c>
      <c r="O32" s="5">
        <v>4</v>
      </c>
      <c r="P32" s="5">
        <v>1</v>
      </c>
      <c r="Q32" s="5">
        <v>4</v>
      </c>
      <c r="R32" s="5">
        <v>1</v>
      </c>
      <c r="S32" s="5">
        <v>1</v>
      </c>
      <c r="T32" s="5">
        <v>1</v>
      </c>
      <c r="U32" s="5">
        <v>1</v>
      </c>
      <c r="V32" s="5">
        <v>4</v>
      </c>
      <c r="W32" s="5">
        <v>1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7">
        <f>COUNTIF(C32:AG32,"1")</f>
        <v>17</v>
      </c>
      <c r="AI32" s="8">
        <f>COUNTIF(C32:AG32,"2")</f>
        <v>0</v>
      </c>
      <c r="AJ32" s="9">
        <f>COUNTIF(C32:AG32,"3")</f>
        <v>0</v>
      </c>
      <c r="AK32" s="10">
        <f>COUNTIF(C32:AG32,"4")</f>
        <v>4</v>
      </c>
      <c r="AL32" s="11">
        <f>COUNTIF(C32:AG32,"5")</f>
        <v>0</v>
      </c>
    </row>
  </sheetData>
  <mergeCells count="7">
    <mergeCell ref="AL1:AL2"/>
    <mergeCell ref="A1:A2"/>
    <mergeCell ref="B1:B2"/>
    <mergeCell ref="AH1:AH2"/>
    <mergeCell ref="AI1:AI2"/>
    <mergeCell ref="AJ1:AJ2"/>
    <mergeCell ref="AK1:AK2"/>
  </mergeCells>
  <phoneticPr fontId="5" type="noConversion"/>
  <conditionalFormatting sqref="C3:S3 T3:AC5 AD3:AG15 C4:R6 S4:S11 W6:AC10 T6:U11 V6:V12 R7:R11 P7:Q20 C7:O21 W11:AA12 AC11:AC15 AB11:AB30 R12:U12 AC16:AG30 P21:AA27 C22:F22 H22:O22 C23:O27 C28:AA30 C31:AG32 R13:AA20">
    <cfRule type="cellIs" dxfId="4" priority="1" operator="equal">
      <formula>1</formula>
    </cfRule>
    <cfRule type="cellIs" dxfId="3" priority="2" operator="equal">
      <formula>2</formula>
    </cfRule>
    <cfRule type="cellIs" dxfId="2" priority="3" operator="equal">
      <formula>3</formula>
    </cfRule>
    <cfRule type="cellIs" dxfId="1" priority="4" operator="equal">
      <formula>4</formula>
    </cfRule>
    <cfRule type="cellIs" dxfId="0" priority="5" operator="equal">
      <formula>5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ENERO 2026</vt:lpstr>
      <vt:lpstr>febrero 2026</vt:lpstr>
      <vt:lpstr>Hoja1</vt:lpstr>
      <vt:lpstr>marzo 2026</vt:lpstr>
      <vt:lpstr>Abril 2026</vt:lpstr>
      <vt:lpstr>Mayo 2026</vt:lpstr>
      <vt:lpstr>Junio 2026</vt:lpstr>
      <vt:lpstr>Julio 2026</vt:lpstr>
      <vt:lpstr>Agosto 2026</vt:lpstr>
      <vt:lpstr>Setiembre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TREJOS VALVERDE</dc:creator>
  <cp:lastModifiedBy>NURIA TREJOS VALVERDE</cp:lastModifiedBy>
  <dcterms:created xsi:type="dcterms:W3CDTF">2025-12-27T02:02:19Z</dcterms:created>
  <dcterms:modified xsi:type="dcterms:W3CDTF">2026-09-22T02:26:55Z</dcterms:modified>
</cp:coreProperties>
</file>